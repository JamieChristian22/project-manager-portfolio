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amiechristian/Downloads/Corporate_Construction_PM_Portfolio_Project/"/>
    </mc:Choice>
  </mc:AlternateContent>
  <xr:revisionPtr revIDLastSave="0" documentId="8_{2B68632C-C2B8-0F48-A948-660484F78A63}" xr6:coauthVersionLast="47" xr6:coauthVersionMax="47" xr10:uidLastSave="{00000000-0000-0000-0000-000000000000}"/>
  <bookViews>
    <workbookView xWindow="0" yWindow="600" windowWidth="28800" windowHeight="16220" firstSheet="6" activeTab="17" xr2:uid="{00000000-000D-0000-FFFF-FFFF00000000}"/>
  </bookViews>
  <sheets>
    <sheet name="Dashboard" sheetId="1" r:id="rId1"/>
    <sheet name="Master_Schedule" sheetId="2" r:id="rId2"/>
    <sheet name="Budget_Cost" sheetId="3" r:id="rId3"/>
    <sheet name="Procurement" sheetId="4" r:id="rId4"/>
    <sheet name="RFI_Log" sheetId="5" r:id="rId5"/>
    <sheet name="Submittal_Log" sheetId="6" r:id="rId6"/>
    <sheet name="Change_Log" sheetId="7" r:id="rId7"/>
    <sheet name="Risk_Register" sheetId="8" r:id="rId8"/>
    <sheet name="Issues_Log" sheetId="9" r:id="rId9"/>
    <sheet name="Safety_Log" sheetId="10" r:id="rId10"/>
    <sheet name="Quality_Log" sheetId="11" r:id="rId11"/>
    <sheet name="Stakeholders" sheetId="12" r:id="rId12"/>
    <sheet name="Meeting_Actions" sheetId="13" r:id="rId13"/>
    <sheet name="Closeout" sheetId="14" r:id="rId14"/>
    <sheet name="Categories" sheetId="15" r:id="rId15"/>
    <sheet name="CPM_Gantt" sheetId="16" r:id="rId16"/>
    <sheet name="Earned_Value" sheetId="17" r:id="rId17"/>
    <sheet name="Completed_Forms" sheetId="18" r:id="rId18"/>
    <sheet name="Portfolio_Case_Study" sheetId="19" r:id="rId1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2" i="8"/>
  <c r="G2" i="8" s="1"/>
  <c r="I16" i="3"/>
  <c r="E16" i="3"/>
  <c r="L16" i="3" s="1"/>
  <c r="L15" i="3"/>
  <c r="K15" i="3"/>
  <c r="J15" i="3"/>
  <c r="I15" i="3"/>
  <c r="E15" i="3"/>
  <c r="K14" i="3"/>
  <c r="J14" i="3"/>
  <c r="I14" i="3"/>
  <c r="E14" i="3"/>
  <c r="L14" i="3" s="1"/>
  <c r="I13" i="3"/>
  <c r="E13" i="3"/>
  <c r="K13" i="3" s="1"/>
  <c r="L12" i="3"/>
  <c r="K12" i="3"/>
  <c r="I12" i="3"/>
  <c r="J12" i="3" s="1"/>
  <c r="E12" i="3"/>
  <c r="I11" i="3"/>
  <c r="E11" i="3"/>
  <c r="L11" i="3" s="1"/>
  <c r="L10" i="3"/>
  <c r="K10" i="3"/>
  <c r="I10" i="3"/>
  <c r="E10" i="3"/>
  <c r="J10" i="3" s="1"/>
  <c r="L9" i="3"/>
  <c r="K9" i="3"/>
  <c r="J9" i="3"/>
  <c r="I9" i="3"/>
  <c r="E9" i="3"/>
  <c r="I8" i="3"/>
  <c r="E8" i="3"/>
  <c r="L8" i="3" s="1"/>
  <c r="L7" i="3"/>
  <c r="K7" i="3"/>
  <c r="J7" i="3"/>
  <c r="I7" i="3"/>
  <c r="E7" i="3"/>
  <c r="K6" i="3"/>
  <c r="J6" i="3"/>
  <c r="I6" i="3"/>
  <c r="E6" i="3"/>
  <c r="L6" i="3" s="1"/>
  <c r="I5" i="3"/>
  <c r="E5" i="3"/>
  <c r="K5" i="3" s="1"/>
  <c r="L4" i="3"/>
  <c r="K4" i="3"/>
  <c r="I4" i="3"/>
  <c r="J4" i="3" s="1"/>
  <c r="E4" i="3"/>
  <c r="I3" i="3"/>
  <c r="E3" i="3"/>
  <c r="L3" i="3" s="1"/>
  <c r="L2" i="3"/>
  <c r="K2" i="3"/>
  <c r="I2" i="3"/>
  <c r="E2" i="3"/>
  <c r="J2" i="3" s="1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K9" i="1"/>
  <c r="I9" i="1"/>
  <c r="G9" i="1"/>
  <c r="C9" i="1"/>
  <c r="E9" i="1" s="1"/>
  <c r="A9" i="1"/>
  <c r="K6" i="1"/>
  <c r="I6" i="1"/>
  <c r="G6" i="1"/>
  <c r="C6" i="1"/>
  <c r="E6" i="1" s="1"/>
  <c r="A6" i="1"/>
  <c r="L5" i="3" l="1"/>
  <c r="L13" i="3"/>
  <c r="J3" i="3"/>
  <c r="J11" i="3"/>
  <c r="K3" i="3"/>
  <c r="J8" i="3"/>
  <c r="K11" i="3"/>
  <c r="J16" i="3"/>
  <c r="J5" i="3"/>
  <c r="K8" i="3"/>
  <c r="J13" i="3"/>
  <c r="K16" i="3"/>
</calcChain>
</file>

<file path=xl/sharedStrings.xml><?xml version="1.0" encoding="utf-8"?>
<sst xmlns="http://schemas.openxmlformats.org/spreadsheetml/2006/main" count="1938" uniqueCount="960">
  <si>
    <t>CORPORATE OPERATIONS CENTER | PROJECT CONTROLS DASHBOARD</t>
  </si>
  <si>
    <t>Status Date</t>
  </si>
  <si>
    <t>Project Start</t>
  </si>
  <si>
    <t>Contract Finish</t>
  </si>
  <si>
    <t>Approved Budget</t>
  </si>
  <si>
    <t>Project Manager</t>
  </si>
  <si>
    <t>Portfolio Simulation</t>
  </si>
  <si>
    <t>Revised Budget</t>
  </si>
  <si>
    <t>Forecast at Completion</t>
  </si>
  <si>
    <t>Forecast Variance</t>
  </si>
  <si>
    <t>Actual Cost to Date</t>
  </si>
  <si>
    <t>Open RFIs</t>
  </si>
  <si>
    <t>Open Risks</t>
  </si>
  <si>
    <t>Planned Progress</t>
  </si>
  <si>
    <t>Actual Progress</t>
  </si>
  <si>
    <t>Schedule Variance</t>
  </si>
  <si>
    <t>Approved Changes</t>
  </si>
  <si>
    <t>Open Actions</t>
  </si>
  <si>
    <t>Recordable Incidents</t>
  </si>
  <si>
    <t>MANAGEMENT HEALTH SUMMARY</t>
  </si>
  <si>
    <t>NEXT 30 DAYS - KEY MILESTONES</t>
  </si>
  <si>
    <t>Area</t>
  </si>
  <si>
    <t>Health</t>
  </si>
  <si>
    <t>Key Driver</t>
  </si>
  <si>
    <t>Immediate Management Action</t>
  </si>
  <si>
    <t>Milestone</t>
  </si>
  <si>
    <t>Baseline</t>
  </si>
  <si>
    <t>Forecast</t>
  </si>
  <si>
    <t>Owner</t>
  </si>
  <si>
    <t>Risk</t>
  </si>
  <si>
    <t>Schedule</t>
  </si>
  <si>
    <t>AMBER</t>
  </si>
  <si>
    <t>Weather-tight milestone and MEP Area A are behind plan</t>
  </si>
  <si>
    <t>Recover south elevation framing; protect dry-in milestone</t>
  </si>
  <si>
    <t>AHU / RTU crane set</t>
  </si>
  <si>
    <t>09/18/2026</t>
  </si>
  <si>
    <t>09/17/2026</t>
  </si>
  <si>
    <t>Mechanical</t>
  </si>
  <si>
    <t>Low</t>
  </si>
  <si>
    <t>Cost</t>
  </si>
  <si>
    <t>Forecast remains within budget but contingency is tightening</t>
  </si>
  <si>
    <t>Escalate elective owner changes; protect remaining contingency</t>
  </si>
  <si>
    <t>Weather-tight milestone</t>
  </si>
  <si>
    <t>09/25/2026</t>
  </si>
  <si>
    <t>09/29/2026</t>
  </si>
  <si>
    <t>GC / Envelope</t>
  </si>
  <si>
    <t>High</t>
  </si>
  <si>
    <t>Procurement</t>
  </si>
  <si>
    <t>GREEN</t>
  </si>
  <si>
    <t>Major long-leads released; electrical gear remains on critical watch</t>
  </si>
  <si>
    <t>Hold weekly factory call and maintain expedite decision gate</t>
  </si>
  <si>
    <t>Electrical gear ship</t>
  </si>
  <si>
    <t>09/28/2026</t>
  </si>
  <si>
    <t>Electrical</t>
  </si>
  <si>
    <t>Medium</t>
  </si>
  <si>
    <t>Safety</t>
  </si>
  <si>
    <t>Zero recordables; one open scaffold observation</t>
  </si>
  <si>
    <t>Close observation before next shift; continue leading-edge audits</t>
  </si>
  <si>
    <t>Interior framing start</t>
  </si>
  <si>
    <t>09/30/2026</t>
  </si>
  <si>
    <t>GC / Framing</t>
  </si>
  <si>
    <t>Quality</t>
  </si>
  <si>
    <t>One open MEP rough-in deficiency at Grid C7</t>
  </si>
  <si>
    <t>Close clash and reinspect before downstream enclosure</t>
  </si>
  <si>
    <t>Area A MEP rough-in complete</t>
  </si>
  <si>
    <t>10/02/2026</t>
  </si>
  <si>
    <t>10/09/2026</t>
  </si>
  <si>
    <t>MEP</t>
  </si>
  <si>
    <t>WBS</t>
  </si>
  <si>
    <t>Phase</t>
  </si>
  <si>
    <t>Activity</t>
  </si>
  <si>
    <t>Planned Start</t>
  </si>
  <si>
    <t>Planned Finish</t>
  </si>
  <si>
    <t>Actual Start</t>
  </si>
  <si>
    <t>Actual Finish</t>
  </si>
  <si>
    <t>Duration (d)</t>
  </si>
  <si>
    <t>Predecessor</t>
  </si>
  <si>
    <t>Planned %</t>
  </si>
  <si>
    <t>Actual %</t>
  </si>
  <si>
    <t>Status</t>
  </si>
  <si>
    <t>Variance (pp)</t>
  </si>
  <si>
    <t>Critical?</t>
  </si>
  <si>
    <t>Notes</t>
  </si>
  <si>
    <t>1.1</t>
  </si>
  <si>
    <t>Preconstruction</t>
  </si>
  <si>
    <t>Owner program validation</t>
  </si>
  <si>
    <t>PM</t>
  </si>
  <si>
    <t>Complete</t>
  </si>
  <si>
    <t>No</t>
  </si>
  <si>
    <t>Program signed off one day early</t>
  </si>
  <si>
    <t>1.2</t>
  </si>
  <si>
    <t>Design development / 60% CDs</t>
  </si>
  <si>
    <t>Architect</t>
  </si>
  <si>
    <t>Yes</t>
  </si>
  <si>
    <t>Four-day delay absorbed by bid prep</t>
  </si>
  <si>
    <t>1.3</t>
  </si>
  <si>
    <t>100% construction documents</t>
  </si>
  <si>
    <t>MEP coordination drove six-day slip</t>
  </si>
  <si>
    <t>1.4</t>
  </si>
  <si>
    <t>Permit review and issuance</t>
  </si>
  <si>
    <t>PM/Architect</t>
  </si>
  <si>
    <t>Permit issued 4/14</t>
  </si>
  <si>
    <t>1.5</t>
  </si>
  <si>
    <t>Bid packages and subcontract awards</t>
  </si>
  <si>
    <t>Major trades bought out</t>
  </si>
  <si>
    <t>2.1</t>
  </si>
  <si>
    <t>Mobilization</t>
  </si>
  <si>
    <t>Site mobilization / temporary controls</t>
  </si>
  <si>
    <t>Superintendent</t>
  </si>
  <si>
    <t>1.4,1.5</t>
  </si>
  <si>
    <t>Mobilization started after permit</t>
  </si>
  <si>
    <t>2.2</t>
  </si>
  <si>
    <t>Sitework</t>
  </si>
  <si>
    <t>Clearing and erosion controls</t>
  </si>
  <si>
    <t>Sitework Sub</t>
  </si>
  <si>
    <t>Rain impacted 3 days</t>
  </si>
  <si>
    <t>2.3</t>
  </si>
  <si>
    <t>Mass grading and underground utilities</t>
  </si>
  <si>
    <t>Utility conflict required RFI-006</t>
  </si>
  <si>
    <t>3.1</t>
  </si>
  <si>
    <t>Foundations</t>
  </si>
  <si>
    <t>Footings and grade beams</t>
  </si>
  <si>
    <t>Concrete Sub</t>
  </si>
  <si>
    <t>Recovered two days with added crew</t>
  </si>
  <si>
    <t>3.2</t>
  </si>
  <si>
    <t>Slab-on-grade</t>
  </si>
  <si>
    <t>Passed FF/FL testing</t>
  </si>
  <si>
    <t>4.1</t>
  </si>
  <si>
    <t>Structure</t>
  </si>
  <si>
    <t>Structural steel fabrication</t>
  </si>
  <si>
    <t>Steel Sub</t>
  </si>
  <si>
    <t>Long-lead shop drawing cycle</t>
  </si>
  <si>
    <t>4.2</t>
  </si>
  <si>
    <t>Structural steel erection</t>
  </si>
  <si>
    <t>3.2,4.1</t>
  </si>
  <si>
    <t>Completed one week late</t>
  </si>
  <si>
    <t>4.3</t>
  </si>
  <si>
    <t>Metal deck and concrete elevated slab</t>
  </si>
  <si>
    <t>Steel/Concrete</t>
  </si>
  <si>
    <t>In Progress</t>
  </si>
  <si>
    <t>Deck pour sequence recovering schedule</t>
  </si>
  <si>
    <t>5.1</t>
  </si>
  <si>
    <t>Envelope</t>
  </si>
  <si>
    <t>Exterior framing and sheathing</t>
  </si>
  <si>
    <t>Framing Sub</t>
  </si>
  <si>
    <t>South elevation 5 days behind</t>
  </si>
  <si>
    <t>5.2</t>
  </si>
  <si>
    <t>Roofing system</t>
  </si>
  <si>
    <t>Roofing Sub</t>
  </si>
  <si>
    <t>Weather-tight target 9/29</t>
  </si>
  <si>
    <t>5.3</t>
  </si>
  <si>
    <t>Curtain wall / storefront</t>
  </si>
  <si>
    <t>Glazing Sub</t>
  </si>
  <si>
    <t>Frames arriving in 2 lots</t>
  </si>
  <si>
    <t>6.1</t>
  </si>
  <si>
    <t>Underground electrical and plumbing</t>
  </si>
  <si>
    <t>MEP Subs</t>
  </si>
  <si>
    <t>Completed</t>
  </si>
  <si>
    <t>6.2</t>
  </si>
  <si>
    <t>MEP overhead rough-in - Area A</t>
  </si>
  <si>
    <t>Coordination issue at grid C7</t>
  </si>
  <si>
    <t>6.3</t>
  </si>
  <si>
    <t>MEP overhead rough-in - Area B</t>
  </si>
  <si>
    <t>Not Started</t>
  </si>
  <si>
    <t>Release after Area A inspection</t>
  </si>
  <si>
    <t>6.4</t>
  </si>
  <si>
    <t>Main electrical gear delivery</t>
  </si>
  <si>
    <t>Electrical Sub</t>
  </si>
  <si>
    <t>Factory ship date confirmed 9/28</t>
  </si>
  <si>
    <t>6.5</t>
  </si>
  <si>
    <t>AHU / RTU delivery and set</t>
  </si>
  <si>
    <t>Mechanical Sub</t>
  </si>
  <si>
    <t>Crane set planned 9/17</t>
  </si>
  <si>
    <t>7.1</t>
  </si>
  <si>
    <t>Interiors</t>
  </si>
  <si>
    <t>Interior metal framing</t>
  </si>
  <si>
    <t>5.2,6.2</t>
  </si>
  <si>
    <t>Start after dry-in</t>
  </si>
  <si>
    <t>7.2</t>
  </si>
  <si>
    <t>Drywall / tape / finish</t>
  </si>
  <si>
    <t>Drywall Sub</t>
  </si>
  <si>
    <t>7.3</t>
  </si>
  <si>
    <t>Ceilings and flooring</t>
  </si>
  <si>
    <t>Finishes Subs</t>
  </si>
  <si>
    <t>7.4</t>
  </si>
  <si>
    <t>Millwork / doors / hardware</t>
  </si>
  <si>
    <t>Carpentry Sub</t>
  </si>
  <si>
    <t>7.5</t>
  </si>
  <si>
    <t>Painting and final finishes</t>
  </si>
  <si>
    <t>Painting Sub</t>
  </si>
  <si>
    <t>8.1</t>
  </si>
  <si>
    <t>Paving, curb, sidewalks</t>
  </si>
  <si>
    <t>8.2</t>
  </si>
  <si>
    <t>Landscaping and site furnishings</t>
  </si>
  <si>
    <t>Landscape Sub</t>
  </si>
  <si>
    <t>9.1</t>
  </si>
  <si>
    <t>Commissioning</t>
  </si>
  <si>
    <t>MEP startup and controls checkout</t>
  </si>
  <si>
    <t>CxA/MEP</t>
  </si>
  <si>
    <t>6.4,6.5,7.3</t>
  </si>
  <si>
    <t>9.2</t>
  </si>
  <si>
    <t>TAB / functional performance testing</t>
  </si>
  <si>
    <t>CxA</t>
  </si>
  <si>
    <t>9.3</t>
  </si>
  <si>
    <t>Closeout</t>
  </si>
  <si>
    <t>Punch list and deficiency correction</t>
  </si>
  <si>
    <t>PM/Superintendent</t>
  </si>
  <si>
    <t>7.5,9.2</t>
  </si>
  <si>
    <t>9.4</t>
  </si>
  <si>
    <t>Owner training / O&amp;M turnover</t>
  </si>
  <si>
    <t>PM/CxA</t>
  </si>
  <si>
    <t>9.5</t>
  </si>
  <si>
    <t>Certificate of Occupancy</t>
  </si>
  <si>
    <t>9.6</t>
  </si>
  <si>
    <t>Final completion / handover</t>
  </si>
  <si>
    <t>9.4,9.5</t>
  </si>
  <si>
    <t>Cost Code</t>
  </si>
  <si>
    <t>Cost Category</t>
  </si>
  <si>
    <t>Original Budget</t>
  </si>
  <si>
    <t>Committed</t>
  </si>
  <si>
    <t>ETC</t>
  </si>
  <si>
    <t>Variance to Budget</t>
  </si>
  <si>
    <t>% Committed</t>
  </si>
  <si>
    <t>% Spent</t>
  </si>
  <si>
    <t>01-100</t>
  </si>
  <si>
    <t>General Conditions</t>
  </si>
  <si>
    <t>Watch</t>
  </si>
  <si>
    <t>Extended supervision due to early schedule slippage</t>
  </si>
  <si>
    <t>02-200</t>
  </si>
  <si>
    <t>Sitework &amp; Utilities</t>
  </si>
  <si>
    <t>On Budget</t>
  </si>
  <si>
    <t>Utility conflict resolved</t>
  </si>
  <si>
    <t>03-300</t>
  </si>
  <si>
    <t>Concrete</t>
  </si>
  <si>
    <t>Minor premium for recovery crew</t>
  </si>
  <si>
    <t>05-500</t>
  </si>
  <si>
    <t>Structural Steel</t>
  </si>
  <si>
    <t>Escalation and connection redesign</t>
  </si>
  <si>
    <t>07-700</t>
  </si>
  <si>
    <t>Roofing &amp; Waterproofing</t>
  </si>
  <si>
    <t>Buyout savings retained</t>
  </si>
  <si>
    <t>08-800</t>
  </si>
  <si>
    <t>Glazing / Doors / Hardware</t>
  </si>
  <si>
    <t>Storefront upgrade approved</t>
  </si>
  <si>
    <t>09-900</t>
  </si>
  <si>
    <t>Interiors / Finishes</t>
  </si>
  <si>
    <t>VE package reduced ceiling scope</t>
  </si>
  <si>
    <t>21-2300</t>
  </si>
  <si>
    <t>Fire Protection</t>
  </si>
  <si>
    <t>22-2200</t>
  </si>
  <si>
    <t>Plumbing</t>
  </si>
  <si>
    <t>Added floor sinks</t>
  </si>
  <si>
    <t>23-2300</t>
  </si>
  <si>
    <t>HVAC / Controls</t>
  </si>
  <si>
    <t>Controls integration allowance</t>
  </si>
  <si>
    <t>26-2600</t>
  </si>
  <si>
    <t>Electrical / Low Voltage</t>
  </si>
  <si>
    <t>Main gear expedite allowance</t>
  </si>
  <si>
    <t>31-3200</t>
  </si>
  <si>
    <t>Paving / Landscaping</t>
  </si>
  <si>
    <t>00-900</t>
  </si>
  <si>
    <t>Design / Permits / Testing</t>
  </si>
  <si>
    <t>Additional special inspections</t>
  </si>
  <si>
    <t>00-950</t>
  </si>
  <si>
    <t>Owner FF&amp;E / IT Allowance</t>
  </si>
  <si>
    <t>Owner-direct packages</t>
  </si>
  <si>
    <t>00-990</t>
  </si>
  <si>
    <t>Construction Contingency</t>
  </si>
  <si>
    <t>$420K allocated through approved changes</t>
  </si>
  <si>
    <t>Package</t>
  </si>
  <si>
    <t>Trade/Vendor</t>
  </si>
  <si>
    <t>Scope</t>
  </si>
  <si>
    <t>Budget</t>
  </si>
  <si>
    <t>Bid Due</t>
  </si>
  <si>
    <t>Award Date</t>
  </si>
  <si>
    <t>Submittal Due</t>
  </si>
  <si>
    <t>Required On Site</t>
  </si>
  <si>
    <t>Current Forecast</t>
  </si>
  <si>
    <t>Lead Time (wks)</t>
  </si>
  <si>
    <t>Risk/Action</t>
  </si>
  <si>
    <t>BP-01</t>
  </si>
  <si>
    <t>Carolina Earthworks</t>
  </si>
  <si>
    <t>Sitework / utilities</t>
  </si>
  <si>
    <t>Closed</t>
  </si>
  <si>
    <t>BP-02</t>
  </si>
  <si>
    <t>Piedmont Concrete</t>
  </si>
  <si>
    <t>Foundations / slabs</t>
  </si>
  <si>
    <t>BP-03</t>
  </si>
  <si>
    <t>SteelWorks Southeast</t>
  </si>
  <si>
    <t>Structural steel</t>
  </si>
  <si>
    <t>Late detailing; recovery complete</t>
  </si>
  <si>
    <t>BP-04</t>
  </si>
  <si>
    <t>Atlantic Roofing</t>
  </si>
  <si>
    <t>Roofing</t>
  </si>
  <si>
    <t>Monitor membrane delivery</t>
  </si>
  <si>
    <t>BP-05</t>
  </si>
  <si>
    <t>ClearView Glazing</t>
  </si>
  <si>
    <t>Frames split into two shipments</t>
  </si>
  <si>
    <t>BP-06</t>
  </si>
  <si>
    <t>Precision Mechanical</t>
  </si>
  <si>
    <t>HVAC / controls</t>
  </si>
  <si>
    <t>RTU crane set locked for 9/17</t>
  </si>
  <si>
    <t>BP-07</t>
  </si>
  <si>
    <t>Triad Electrical</t>
  </si>
  <si>
    <t>Electrical / low voltage</t>
  </si>
  <si>
    <t>Gear ship 9/28; 4-day float</t>
  </si>
  <si>
    <t>BP-08</t>
  </si>
  <si>
    <t>Interior Systems Inc.</t>
  </si>
  <si>
    <t>Framing / drywall / ceilings</t>
  </si>
  <si>
    <t>Awarded</t>
  </si>
  <si>
    <t>Release Area A material now</t>
  </si>
  <si>
    <t>BP-09</t>
  </si>
  <si>
    <t>FinishWorks</t>
  </si>
  <si>
    <t>Flooring / paint</t>
  </si>
  <si>
    <t>Mockups due 10/16</t>
  </si>
  <si>
    <t>BP-10</t>
  </si>
  <si>
    <t>OfficeTech Integrators</t>
  </si>
  <si>
    <t>AV / access control / data</t>
  </si>
  <si>
    <t>Owner IT</t>
  </si>
  <si>
    <t>Coordinate with ceilings</t>
  </si>
  <si>
    <t>RFI #</t>
  </si>
  <si>
    <t>Date Submitted</t>
  </si>
  <si>
    <t>Discipline</t>
  </si>
  <si>
    <t>Subject</t>
  </si>
  <si>
    <t>Submitted By</t>
  </si>
  <si>
    <t>Ball In Court</t>
  </si>
  <si>
    <t>Due Date</t>
  </si>
  <si>
    <t>Answered Date</t>
  </si>
  <si>
    <t>Schedule Impact (days)</t>
  </si>
  <si>
    <t>Cost Impact</t>
  </si>
  <si>
    <t>Related CO</t>
  </si>
  <si>
    <t>Resolution / Decision</t>
  </si>
  <si>
    <t>RFI-001</t>
  </si>
  <si>
    <t>Civil</t>
  </si>
  <si>
    <t>Storm line invert conflict at east drive</t>
  </si>
  <si>
    <t>Civil Engineer</t>
  </si>
  <si>
    <t>Revise invert and add cleanout</t>
  </si>
  <si>
    <t>RFI-002</t>
  </si>
  <si>
    <t>Structural</t>
  </si>
  <si>
    <t>Footing F12 clashes with telecom ductbank</t>
  </si>
  <si>
    <t>Structural Engineer</t>
  </si>
  <si>
    <t>CO-002</t>
  </si>
  <si>
    <t>Shift footing 18 inches west</t>
  </si>
  <si>
    <t>RFI-003</t>
  </si>
  <si>
    <t>Architectural</t>
  </si>
  <si>
    <t>Lobby stone backing detail</t>
  </si>
  <si>
    <t>Supplemental stud framing approved</t>
  </si>
  <si>
    <t>RFI-004</t>
  </si>
  <si>
    <t>Beam camber tolerance at grid D</t>
  </si>
  <si>
    <t>Accept per tolerance; field survey required</t>
  </si>
  <si>
    <t>RFI-005</t>
  </si>
  <si>
    <t>Roof curb opening dimensions</t>
  </si>
  <si>
    <t>Architect/MEP</t>
  </si>
  <si>
    <t>Use vendor-certified curb dimensions</t>
  </si>
  <si>
    <t>RFI-006</t>
  </si>
  <si>
    <t>Unknown utility crossing north service yard</t>
  </si>
  <si>
    <t>CO-004</t>
  </si>
  <si>
    <t>Reroute sanitary around existing fiber bank</t>
  </si>
  <si>
    <t>RFI-007</t>
  </si>
  <si>
    <t>Storefront head condition at canopy</t>
  </si>
  <si>
    <t>CO-006</t>
  </si>
  <si>
    <t>Add steel tube support at head</t>
  </si>
  <si>
    <t>RFI-008</t>
  </si>
  <si>
    <t>Duct / sprinkler clash above training room</t>
  </si>
  <si>
    <t>MEP Engineer</t>
  </si>
  <si>
    <t>Raise branch line 4 inches</t>
  </si>
  <si>
    <t>RFI-009</t>
  </si>
  <si>
    <t>Generator feeder routing through shear wall</t>
  </si>
  <si>
    <t>MEP/Structural</t>
  </si>
  <si>
    <t>CO-008</t>
  </si>
  <si>
    <t>Core sleeve detail issued</t>
  </si>
  <si>
    <t>RFI-010</t>
  </si>
  <si>
    <t>Exterior panel transition at loading dock</t>
  </si>
  <si>
    <t>Envelope Sub</t>
  </si>
  <si>
    <t>Answered</t>
  </si>
  <si>
    <t>Revised flashing detail A-521</t>
  </si>
  <si>
    <t>RFI-011</t>
  </si>
  <si>
    <t>AHU condensate routing at mezzanine</t>
  </si>
  <si>
    <t>Route to nearby hub drain</t>
  </si>
  <si>
    <t>RFI-012</t>
  </si>
  <si>
    <t>Deck penetration reinforcing at RTU-3</t>
  </si>
  <si>
    <t>Add angle frame per SK-S14</t>
  </si>
  <si>
    <t>RFI-013</t>
  </si>
  <si>
    <t>Lighting control zone revision in open office</t>
  </si>
  <si>
    <t>Architect/Owner</t>
  </si>
  <si>
    <t>Open</t>
  </si>
  <si>
    <t>PCO-012</t>
  </si>
  <si>
    <t>Owner decision pending</t>
  </si>
  <si>
    <t>RFI-014</t>
  </si>
  <si>
    <t>Door 214 hardware function</t>
  </si>
  <si>
    <t>Door Sub</t>
  </si>
  <si>
    <t>Confirm electrified panic hardware</t>
  </si>
  <si>
    <t>RFI-015</t>
  </si>
  <si>
    <t>Domestic water meter backflow arrangement</t>
  </si>
  <si>
    <t>Plumbing Sub</t>
  </si>
  <si>
    <t>Awaiting utility confirmation</t>
  </si>
  <si>
    <t>Submittal #</t>
  </si>
  <si>
    <t>Spec Section</t>
  </si>
  <si>
    <t>Description</t>
  </si>
  <si>
    <t>Trade</t>
  </si>
  <si>
    <t>Submitted</t>
  </si>
  <si>
    <t>Review Due</t>
  </si>
  <si>
    <t>Returned</t>
  </si>
  <si>
    <t>Rev</t>
  </si>
  <si>
    <t>Days Float</t>
  </si>
  <si>
    <t>SUB-001</t>
  </si>
  <si>
    <t>03 30 00</t>
  </si>
  <si>
    <t>Concrete mix designs</t>
  </si>
  <si>
    <t>Approved</t>
  </si>
  <si>
    <t>SUB-002</t>
  </si>
  <si>
    <t>05 12 00</t>
  </si>
  <si>
    <t>Structural steel shop drawings</t>
  </si>
  <si>
    <t>Revise &amp; Resubmit</t>
  </si>
  <si>
    <t>Second cycle expedited</t>
  </si>
  <si>
    <t>SUB-003</t>
  </si>
  <si>
    <t>Structural steel shop drawings - Rev 1</t>
  </si>
  <si>
    <t>Released to fabrication</t>
  </si>
  <si>
    <t>SUB-004</t>
  </si>
  <si>
    <t>07 54 23</t>
  </si>
  <si>
    <t>TPO roofing system</t>
  </si>
  <si>
    <t>SUB-005</t>
  </si>
  <si>
    <t>08 41 13</t>
  </si>
  <si>
    <t>Aluminum storefront / curtain wall</t>
  </si>
  <si>
    <t>Head condition revised</t>
  </si>
  <si>
    <t>SUB-006</t>
  </si>
  <si>
    <t>Storefront / curtain wall - Rev 1</t>
  </si>
  <si>
    <t>Released</t>
  </si>
  <si>
    <t>SUB-007</t>
  </si>
  <si>
    <t>23 73 00</t>
  </si>
  <si>
    <t>Packaged rooftop units</t>
  </si>
  <si>
    <t>Long lead released</t>
  </si>
  <si>
    <t>SUB-008</t>
  </si>
  <si>
    <t>26 24 13</t>
  </si>
  <si>
    <t>Main switchboard / distribution gear</t>
  </si>
  <si>
    <t>Critical long lead</t>
  </si>
  <si>
    <t>SUB-009</t>
  </si>
  <si>
    <t>09 29 00</t>
  </si>
  <si>
    <t>Gypsum board assemblies</t>
  </si>
  <si>
    <t>SUB-010</t>
  </si>
  <si>
    <t>09 51 00</t>
  </si>
  <si>
    <t>Acoustical ceiling systems</t>
  </si>
  <si>
    <t>SUB-011</t>
  </si>
  <si>
    <t>09 65 00</t>
  </si>
  <si>
    <t>Resilient flooring samples</t>
  </si>
  <si>
    <t>Mockup required</t>
  </si>
  <si>
    <t>SUB-012</t>
  </si>
  <si>
    <t>09 91 00</t>
  </si>
  <si>
    <t>Paint color samples</t>
  </si>
  <si>
    <t>SUB-013</t>
  </si>
  <si>
    <t>28 13 00</t>
  </si>
  <si>
    <t>Access control head-end</t>
  </si>
  <si>
    <t>Review due</t>
  </si>
  <si>
    <t>SUB-014</t>
  </si>
  <si>
    <t>27 41 16</t>
  </si>
  <si>
    <t>AV systems equipment rack</t>
  </si>
  <si>
    <t>Change #</t>
  </si>
  <si>
    <t>Date</t>
  </si>
  <si>
    <t>Title</t>
  </si>
  <si>
    <t>Origin</t>
  </si>
  <si>
    <t>Reason</t>
  </si>
  <si>
    <t>ROM / Proposed</t>
  </si>
  <si>
    <t>Approved Amount</t>
  </si>
  <si>
    <t>Budget Code</t>
  </si>
  <si>
    <t>Owner Decision Due</t>
  </si>
  <si>
    <t>CO-001</t>
  </si>
  <si>
    <t>Permit comment revisions</t>
  </si>
  <si>
    <t>AHJ</t>
  </si>
  <si>
    <t>Code / permit</t>
  </si>
  <si>
    <t>Added fire-rated shaft detail</t>
  </si>
  <si>
    <t>Footing relocation at telecom ductbank</t>
  </si>
  <si>
    <t>Unforeseen condition</t>
  </si>
  <si>
    <t>CO-003</t>
  </si>
  <si>
    <t>Owner conference room AV rough-in</t>
  </si>
  <si>
    <t>Scope addition</t>
  </si>
  <si>
    <t>Sanitary reroute at fiber bank</t>
  </si>
  <si>
    <t>Existing condition</t>
  </si>
  <si>
    <t>CO-005</t>
  </si>
  <si>
    <t>Structural steel connection redesign</t>
  </si>
  <si>
    <t>Design coordination</t>
  </si>
  <si>
    <t>Canopy storefront steel support</t>
  </si>
  <si>
    <t>CO-007</t>
  </si>
  <si>
    <t>Floor sink additions</t>
  </si>
  <si>
    <t>Owner/Operations</t>
  </si>
  <si>
    <t>Generator feeder wall sleeve</t>
  </si>
  <si>
    <t>CO-009</t>
  </si>
  <si>
    <t>Storefront performance upgrade</t>
  </si>
  <si>
    <t>Scope enhancement</t>
  </si>
  <si>
    <t>CO-010</t>
  </si>
  <si>
    <t>HVAC controls integration allowance</t>
  </si>
  <si>
    <t>Integration risk</t>
  </si>
  <si>
    <t>PCO-011</t>
  </si>
  <si>
    <t>Expedite electrical gear freight</t>
  </si>
  <si>
    <t>Schedule recovery</t>
  </si>
  <si>
    <t>Pricing</t>
  </si>
  <si>
    <t>Use only if factory ship slips beyond 9/30</t>
  </si>
  <si>
    <t>Open office lighting control revision</t>
  </si>
  <si>
    <t>Scope change</t>
  </si>
  <si>
    <t>Potential</t>
  </si>
  <si>
    <t>Pending owner standards decision</t>
  </si>
  <si>
    <t>Risk ID</t>
  </si>
  <si>
    <t>Category</t>
  </si>
  <si>
    <t>Risk Statement</t>
  </si>
  <si>
    <t>Probability (1-5)</t>
  </si>
  <si>
    <t>Impact (1-5)</t>
  </si>
  <si>
    <t>Score</t>
  </si>
  <si>
    <t>Level</t>
  </si>
  <si>
    <t>Trigger</t>
  </si>
  <si>
    <t>Mitigation / Response</t>
  </si>
  <si>
    <t>Target Date</t>
  </si>
  <si>
    <t>Residual Score</t>
  </si>
  <si>
    <t>R-01</t>
  </si>
  <si>
    <t>Electrical gear delivery slips beyond required date</t>
  </si>
  <si>
    <t>Factory ship slips past 9/30</t>
  </si>
  <si>
    <t>Weekly factory calls; preapprove air/expedite decision; temporary power contingency</t>
  </si>
  <si>
    <t>R-02</t>
  </si>
  <si>
    <t>Building not weather-tight before interior framing</t>
  </si>
  <si>
    <t>Roof / curtain wall forecast exceeds 9/29</t>
  </si>
  <si>
    <t>Daily envelope huddles; split storefront shipments; temporary dry-in membrane</t>
  </si>
  <si>
    <t>R-03</t>
  </si>
  <si>
    <t>Remaining contingency is consumed by owner changes</t>
  </si>
  <si>
    <t>Uncommitted contingency below $200K</t>
  </si>
  <si>
    <t>Monthly change review; require owner funding for elective scope; freeze finishes by 10/1</t>
  </si>
  <si>
    <t>R-04</t>
  </si>
  <si>
    <t>Water intrusion at curtain wall transitions</t>
  </si>
  <si>
    <t>Failed mockup / first water test</t>
  </si>
  <si>
    <t>Full-size mockup; envelope consultant review; 100% transition inspection</t>
  </si>
  <si>
    <t>QA/QC Lead</t>
  </si>
  <si>
    <t>R-05</t>
  </si>
  <si>
    <t>Falls during steel/deck/envelope overlap</t>
  </si>
  <si>
    <t>Multiple trades working leading edges</t>
  </si>
  <si>
    <t>100% tie-off; controlled access zones; daily leading-edge audit</t>
  </si>
  <si>
    <t>Safety Manager</t>
  </si>
  <si>
    <t>R-06</t>
  </si>
  <si>
    <t>Coordination</t>
  </si>
  <si>
    <t>MEP clashes cause rework above ceilings</t>
  </si>
  <si>
    <t>Unresolved clash tickets &gt;10</t>
  </si>
  <si>
    <t>Weekly BIM clash meeting; sign-off by zone before rough-in</t>
  </si>
  <si>
    <t>MEP Coordinator</t>
  </si>
  <si>
    <t>R-07</t>
  </si>
  <si>
    <t>Stakeholder</t>
  </si>
  <si>
    <t>Owner late decisions delay finish procurement</t>
  </si>
  <si>
    <t>Decision log overdue &gt;5 business days</t>
  </si>
  <si>
    <t>Decision due-date dashboard; escalation at OAC; default option identified</t>
  </si>
  <si>
    <t>R-08</t>
  </si>
  <si>
    <t>Incomplete O&amp;M / training documents delay turnover</t>
  </si>
  <si>
    <t>Subcontractor closeout &gt;30 days late</t>
  </si>
  <si>
    <t>Closeout requirements enforced with pay apps; monthly completeness audit</t>
  </si>
  <si>
    <t>Project Engineer</t>
  </si>
  <si>
    <t>Issue ID</t>
  </si>
  <si>
    <t>Date Opened</t>
  </si>
  <si>
    <t>Issue</t>
  </si>
  <si>
    <t>Impact</t>
  </si>
  <si>
    <t>Priority</t>
  </si>
  <si>
    <t>Decision / Next Step</t>
  </si>
  <si>
    <t>Closed Date</t>
  </si>
  <si>
    <t>I-001</t>
  </si>
  <si>
    <t>Steel erection completion slipped one week</t>
  </si>
  <si>
    <t>Downstream envelope / MEP access</t>
  </si>
  <si>
    <t>Added Saturday crew and resequenced deck pours</t>
  </si>
  <si>
    <t>I-002</t>
  </si>
  <si>
    <t>South elevation framing productivity below plan</t>
  </si>
  <si>
    <t>Weather-tight milestone at risk</t>
  </si>
  <si>
    <t>Add second lift and dedicated material runner</t>
  </si>
  <si>
    <t>I-003</t>
  </si>
  <si>
    <t>Open office lighting control standard unresolved</t>
  </si>
  <si>
    <t>Potential owner change and rework</t>
  </si>
  <si>
    <t>Owner PM</t>
  </si>
  <si>
    <t>Owner to choose standard package</t>
  </si>
  <si>
    <t>I-004</t>
  </si>
  <si>
    <t>MEP clash at grid C7 training room</t>
  </si>
  <si>
    <t>Rough-in delay in Area A</t>
  </si>
  <si>
    <t>Issue coordinated spool sketch</t>
  </si>
  <si>
    <t>I-005</t>
  </si>
  <si>
    <t>Storefront delivery split; second lot date unconfirmed</t>
  </si>
  <si>
    <t>South elevation dry-in</t>
  </si>
  <si>
    <t>Vendor to confirm second-lot ship notice</t>
  </si>
  <si>
    <t>Event Type</t>
  </si>
  <si>
    <t>Location</t>
  </si>
  <si>
    <t>Severity</t>
  </si>
  <si>
    <t>Responsible Party</t>
  </si>
  <si>
    <t>Immediate Action</t>
  </si>
  <si>
    <t>Corrective Action</t>
  </si>
  <si>
    <t>Recordable?</t>
  </si>
  <si>
    <t>Observation</t>
  </si>
  <si>
    <t>Site perimeter</t>
  </si>
  <si>
    <t>Missing cap on exposed rebar</t>
  </si>
  <si>
    <t>Area barricaded</t>
  </si>
  <si>
    <t>Install approved rebar caps and inspect all perimeter steel</t>
  </si>
  <si>
    <t>Near Miss</t>
  </si>
  <si>
    <t>Excavation</t>
  </si>
  <si>
    <t>Spoil pile too close to trench edge</t>
  </si>
  <si>
    <t>Work stopped</t>
  </si>
  <si>
    <t>Relocate spoils &gt;2 ft; retrain competent person</t>
  </si>
  <si>
    <t>Slab pour</t>
  </si>
  <si>
    <t>Extension cord crossing wet work path</t>
  </si>
  <si>
    <t>Cord rerouted</t>
  </si>
  <si>
    <t>Use overhead cord management</t>
  </si>
  <si>
    <t>Steel erection</t>
  </si>
  <si>
    <t>Loose bolt dropped from upper level</t>
  </si>
  <si>
    <t>Drop zone enlarged</t>
  </si>
  <si>
    <t>Tool tethering and toe-board audit</t>
  </si>
  <si>
    <t>Roof deck</t>
  </si>
  <si>
    <t>Worker not maintaining 100% tie-off</t>
  </si>
  <si>
    <t>Critical</t>
  </si>
  <si>
    <t>Worker removed from exposure</t>
  </si>
  <si>
    <t>Stand-down; documented retraining; foreman spot checks</t>
  </si>
  <si>
    <t>Loading zone</t>
  </si>
  <si>
    <t>Forklift pedestrian separation inadequate</t>
  </si>
  <si>
    <t>GC</t>
  </si>
  <si>
    <t>Cones added</t>
  </si>
  <si>
    <t>Painted pedestrian route and spotter requirement</t>
  </si>
  <si>
    <t>First Aid</t>
  </si>
  <si>
    <t>North stair</t>
  </si>
  <si>
    <t>Minor hand cut while handling sheet metal</t>
  </si>
  <si>
    <t>First aid administered</t>
  </si>
  <si>
    <t>Glove compliance toolbox talk</t>
  </si>
  <si>
    <t>South elevation</t>
  </si>
  <si>
    <t>Scaffold toe board missing</t>
  </si>
  <si>
    <t>Platform tagged out</t>
  </si>
  <si>
    <t>Replace toe board before use; scaffold audit</t>
  </si>
  <si>
    <t>QC ID</t>
  </si>
  <si>
    <t>Area / Trade</t>
  </si>
  <si>
    <t>Inspection / Test</t>
  </si>
  <si>
    <t>Requirement</t>
  </si>
  <si>
    <t>Result</t>
  </si>
  <si>
    <t>Deficiency</t>
  </si>
  <si>
    <t>Verification</t>
  </si>
  <si>
    <t>QC-001</t>
  </si>
  <si>
    <t>Rebar pre-pour</t>
  </si>
  <si>
    <t>Per structural drawings</t>
  </si>
  <si>
    <t>Pass</t>
  </si>
  <si>
    <t>Accepted</t>
  </si>
  <si>
    <t>Special inspector sign-off</t>
  </si>
  <si>
    <t>QC-002</t>
  </si>
  <si>
    <t>Concrete cylinder test - 7 day</t>
  </si>
  <si>
    <t>Design 4,000 psi</t>
  </si>
  <si>
    <t>Average 3,220 psi at 7 days</t>
  </si>
  <si>
    <t>QC-003</t>
  </si>
  <si>
    <t>Slab</t>
  </si>
  <si>
    <t>FF/FL testing</t>
  </si>
  <si>
    <t>FF35 / FL25</t>
  </si>
  <si>
    <t>FF41 / FL29</t>
  </si>
  <si>
    <t>QC-004</t>
  </si>
  <si>
    <t>Steel</t>
  </si>
  <si>
    <t>Bolt tension inspection</t>
  </si>
  <si>
    <t>AISC/RCSC</t>
  </si>
  <si>
    <t>Inspector report filed</t>
  </si>
  <si>
    <t>QC-005</t>
  </si>
  <si>
    <t>Air barrier substrate inspection</t>
  </si>
  <si>
    <t>Manufacturer requirements</t>
  </si>
  <si>
    <t>Fail</t>
  </si>
  <si>
    <t>Fastener spacing / open joints</t>
  </si>
  <si>
    <t>Corrected</t>
  </si>
  <si>
    <t>Reinspection passed 8/28</t>
  </si>
  <si>
    <t>QC-006</t>
  </si>
  <si>
    <t>Roof</t>
  </si>
  <si>
    <t>TPO seam probe test</t>
  </si>
  <si>
    <t>100% seams</t>
  </si>
  <si>
    <t>QC-007</t>
  </si>
  <si>
    <t>MEP Area A</t>
  </si>
  <si>
    <t>Above-ceiling rough-in walk</t>
  </si>
  <si>
    <t>Approved coordination model</t>
  </si>
  <si>
    <t>Duct/sprinkler conflict grid C7</t>
  </si>
  <si>
    <t>Reinspect after RFI resolution</t>
  </si>
  <si>
    <t>QC-008</t>
  </si>
  <si>
    <t>South Elevation</t>
  </si>
  <si>
    <t>Exterior framing plumb/tolerance</t>
  </si>
  <si>
    <t>1/8 in over 10 ft</t>
  </si>
  <si>
    <t>Organization / Role</t>
  </si>
  <si>
    <t>Influence</t>
  </si>
  <si>
    <t>Interest</t>
  </si>
  <si>
    <t>Communication Need</t>
  </si>
  <si>
    <t>Cadence</t>
  </si>
  <si>
    <t>Channel</t>
  </si>
  <si>
    <t>Success Measure</t>
  </si>
  <si>
    <t>Executive Sponsor</t>
  </si>
  <si>
    <t>Owner / COO</t>
  </si>
  <si>
    <t>Budget, schedule, major risk, decisions</t>
  </si>
  <si>
    <t>Monthly</t>
  </si>
  <si>
    <t>Executive report</t>
  </si>
  <si>
    <t>No surprises; decisions within 3 days</t>
  </si>
  <si>
    <t>Owner Project Manager</t>
  </si>
  <si>
    <t>Daily decisions, change control, coordination</t>
  </si>
  <si>
    <t>Weekly + as needed</t>
  </si>
  <si>
    <t>OAC / email</t>
  </si>
  <si>
    <t>Decision log current</t>
  </si>
  <si>
    <t>Facilities Director</t>
  </si>
  <si>
    <t>Owner Operations</t>
  </si>
  <si>
    <t>Maintainability, equipment access, training</t>
  </si>
  <si>
    <t>Biweekly</t>
  </si>
  <si>
    <t>Field walk / meeting</t>
  </si>
  <si>
    <t>Operations sign-off</t>
  </si>
  <si>
    <t>Design Team</t>
  </si>
  <si>
    <t>RFIs, submittals, design intent</t>
  </si>
  <si>
    <t>Weekly</t>
  </si>
  <si>
    <t>OAC / Procore-style logs</t>
  </si>
  <si>
    <t>Average RFI turnaround &lt;5 days</t>
  </si>
  <si>
    <t>MEP Engineers</t>
  </si>
  <si>
    <t>Coordination, field clarifications</t>
  </si>
  <si>
    <t>BIM / RFI</t>
  </si>
  <si>
    <t>Clashes closed before install</t>
  </si>
  <si>
    <t>General Contractor Team</t>
  </si>
  <si>
    <t>Delivery Team</t>
  </si>
  <si>
    <t>Schedule, safety, quality, costs</t>
  </si>
  <si>
    <t>Daily</t>
  </si>
  <si>
    <t>Huddle / dashboard</t>
  </si>
  <si>
    <t>Milestones achieved</t>
  </si>
  <si>
    <t>Subcontractors</t>
  </si>
  <si>
    <t>Trade Partners</t>
  </si>
  <si>
    <t>Look-ahead, constraints, safety, quality</t>
  </si>
  <si>
    <t>Trade meeting</t>
  </si>
  <si>
    <t>PPC &gt;80%</t>
  </si>
  <si>
    <t>AHJ / Inspectors</t>
  </si>
  <si>
    <t>Regulatory</t>
  </si>
  <si>
    <t>Inspection readiness, code compliance</t>
  </si>
  <si>
    <t>As required</t>
  </si>
  <si>
    <t>Inspection request</t>
  </si>
  <si>
    <t>Pass first inspection</t>
  </si>
  <si>
    <t>Finance</t>
  </si>
  <si>
    <t>Owner Finance</t>
  </si>
  <si>
    <t>Forecast, cash flow, change exposure</t>
  </si>
  <si>
    <t>Cost report</t>
  </si>
  <si>
    <t>Forecast accuracy +/-2%</t>
  </si>
  <si>
    <t>IT / Security</t>
  </si>
  <si>
    <t>AV/data/access control decisions</t>
  </si>
  <si>
    <t>Coordination meeting</t>
  </si>
  <si>
    <t>Systems ready before move-in</t>
  </si>
  <si>
    <t>Action ID</t>
  </si>
  <si>
    <t>Meeting</t>
  </si>
  <si>
    <t>Action</t>
  </si>
  <si>
    <t>Dependency</t>
  </si>
  <si>
    <t>Completion Note</t>
  </si>
  <si>
    <t>A-001</t>
  </si>
  <si>
    <t>OAC</t>
  </si>
  <si>
    <t>Confirm storefront second-shipment date</t>
  </si>
  <si>
    <t>Vendor escalation underway</t>
  </si>
  <si>
    <t>A-002</t>
  </si>
  <si>
    <t>Trade Coordination</t>
  </si>
  <si>
    <t>Resolve grid C7 duct/sprinkler clash</t>
  </si>
  <si>
    <t>Coordinated sketch due 9/14</t>
  </si>
  <si>
    <t>A-003</t>
  </si>
  <si>
    <t>Owner select lighting control standard</t>
  </si>
  <si>
    <t>Three options issued</t>
  </si>
  <si>
    <t>A-004</t>
  </si>
  <si>
    <t>Close scaffold toe-board observation</t>
  </si>
  <si>
    <t>Framing Foreman</t>
  </si>
  <si>
    <t>Safety 9/10</t>
  </si>
  <si>
    <t>Reinspection scheduled</t>
  </si>
  <si>
    <t>A-005</t>
  </si>
  <si>
    <t>Confirm electrical gear factory ship notice</t>
  </si>
  <si>
    <t>Electrical PM</t>
  </si>
  <si>
    <t>Weekly vendor update</t>
  </si>
  <si>
    <t>A-006</t>
  </si>
  <si>
    <t>Reinspect MEP rough-in at training room</t>
  </si>
  <si>
    <t>After clash correction</t>
  </si>
  <si>
    <t>A-007</t>
  </si>
  <si>
    <t>Freeze Level 1 finish selections</t>
  </si>
  <si>
    <t>Final samples in owner review</t>
  </si>
  <si>
    <t>A-008</t>
  </si>
  <si>
    <t>Add second lift at south elevation</t>
  </si>
  <si>
    <t>Recovery plan approved</t>
  </si>
  <si>
    <t>Item ID</t>
  </si>
  <si>
    <t>Planned Due</t>
  </si>
  <si>
    <t>Actual / Forecast</t>
  </si>
  <si>
    <t>% Complete</t>
  </si>
  <si>
    <t>Retention Link</t>
  </si>
  <si>
    <t>C-001</t>
  </si>
  <si>
    <t>Permits</t>
  </si>
  <si>
    <t>Final building inspection / CO</t>
  </si>
  <si>
    <t>Final payment</t>
  </si>
  <si>
    <t>AHJ inspection matrix maintained</t>
  </si>
  <si>
    <t>C-002</t>
  </si>
  <si>
    <t>Functional performance testing</t>
  </si>
  <si>
    <t>CxA / MEP</t>
  </si>
  <si>
    <t>MEP retention</t>
  </si>
  <si>
    <t>C-003</t>
  </si>
  <si>
    <t>O&amp;M Manuals</t>
  </si>
  <si>
    <t>Approved electronic O&amp;M manuals</t>
  </si>
  <si>
    <t>All Trades</t>
  </si>
  <si>
    <t>10% trade retention</t>
  </si>
  <si>
    <t>Monthly completeness audit starts Nov</t>
  </si>
  <si>
    <t>C-004</t>
  </si>
  <si>
    <t>Training</t>
  </si>
  <si>
    <t>Owner equipment training</t>
  </si>
  <si>
    <t>MEP / Vendors</t>
  </si>
  <si>
    <t>Record sessions</t>
  </si>
  <si>
    <t>C-005</t>
  </si>
  <si>
    <t>As-Builts</t>
  </si>
  <si>
    <t>Redline and final record drawings</t>
  </si>
  <si>
    <t>5% trade retention</t>
  </si>
  <si>
    <t>Weekly redline spot checks</t>
  </si>
  <si>
    <t>C-006</t>
  </si>
  <si>
    <t>Warranties</t>
  </si>
  <si>
    <t>Warranty certificates and start dates</t>
  </si>
  <si>
    <t>C-007</t>
  </si>
  <si>
    <t>Punch List</t>
  </si>
  <si>
    <t>Architect/owner punch complete</t>
  </si>
  <si>
    <t>GC / Subs</t>
  </si>
  <si>
    <t>Digital punch by room</t>
  </si>
  <si>
    <t>C-008</t>
  </si>
  <si>
    <t>IT / security systems turnover</t>
  </si>
  <si>
    <t>OfficeTech</t>
  </si>
  <si>
    <t>Vendor final</t>
  </si>
  <si>
    <t>C-009</t>
  </si>
  <si>
    <t>Financial</t>
  </si>
  <si>
    <t>Final change reconciliation</t>
  </si>
  <si>
    <t>PM / Finance</t>
  </si>
  <si>
    <t>GC final</t>
  </si>
  <si>
    <t>No open PCOs at substantial completion</t>
  </si>
  <si>
    <t>C-010</t>
  </si>
  <si>
    <t>Lessons Learned</t>
  </si>
  <si>
    <t>Project retrospective and KPI closeout</t>
  </si>
  <si>
    <t>N/A</t>
  </si>
  <si>
    <t>Schedule Status</t>
  </si>
  <si>
    <t>Cost Status</t>
  </si>
  <si>
    <t>RFI Status</t>
  </si>
  <si>
    <t>Submittal Status</t>
  </si>
  <si>
    <t>Change Status</t>
  </si>
  <si>
    <t>Risk Level</t>
  </si>
  <si>
    <t>Action Status</t>
  </si>
  <si>
    <t>Safety Severity</t>
  </si>
  <si>
    <t>QC Status</t>
  </si>
  <si>
    <t>Closeout Status</t>
  </si>
  <si>
    <t>Not Submitted</t>
  </si>
  <si>
    <t>Over Budget</t>
  </si>
  <si>
    <t>Delayed</t>
  </si>
  <si>
    <t>Void</t>
  </si>
  <si>
    <t>Rejected</t>
  </si>
  <si>
    <t>Blocked</t>
  </si>
  <si>
    <t>Pred.</t>
  </si>
  <si>
    <t>Baseline Start</t>
  </si>
  <si>
    <t>Baseline Finish</t>
  </si>
  <si>
    <t>Forecast Start</t>
  </si>
  <si>
    <t>Forecast Finish</t>
  </si>
  <si>
    <t>Dur.</t>
  </si>
  <si>
    <t>Float (d)</t>
  </si>
  <si>
    <t>Variance (d)</t>
  </si>
  <si>
    <t>GANTT TIMELINE (weekly)</t>
  </si>
  <si>
    <t>■</t>
  </si>
  <si>
    <t>Month</t>
  </si>
  <si>
    <t>PV</t>
  </si>
  <si>
    <t>EV</t>
  </si>
  <si>
    <t>AC</t>
  </si>
  <si>
    <t>SPI</t>
  </si>
  <si>
    <t>CPI</t>
  </si>
  <si>
    <t>SV</t>
  </si>
  <si>
    <t>CV</t>
  </si>
  <si>
    <t>EARNED VALUE PERFORMANCE | STATUS DATE 09/15/2026</t>
  </si>
  <si>
    <t>Metric</t>
  </si>
  <si>
    <t>Value</t>
  </si>
  <si>
    <t>BAC</t>
  </si>
  <si>
    <t>EAC (CPI)</t>
  </si>
  <si>
    <t>VAC</t>
  </si>
  <si>
    <t>TCPI (BAC)</t>
  </si>
  <si>
    <t>Schedule Var.</t>
  </si>
  <si>
    <t>COMPLETED CONSTRUCTION CONTROL FORMS | PORTFOLIO SAMPLES</t>
  </si>
  <si>
    <t>Form ID</t>
  </si>
  <si>
    <t>Type</t>
  </si>
  <si>
    <t>Responsible</t>
  </si>
  <si>
    <t>Disposition / Key Record</t>
  </si>
  <si>
    <t>Cycle Time</t>
  </si>
  <si>
    <t>RFI</t>
  </si>
  <si>
    <t>Underground utility conflict at east service yard</t>
  </si>
  <si>
    <t>Civil/MEP</t>
  </si>
  <si>
    <t>Relocate storm line 4'-0" south; no structural impact</t>
  </si>
  <si>
    <t>4 days</t>
  </si>
  <si>
    <t>$18,500</t>
  </si>
  <si>
    <t>SUB-042</t>
  </si>
  <si>
    <t>Submittal</t>
  </si>
  <si>
    <t>Main switchgear product data and shop drawings</t>
  </si>
  <si>
    <t>Approved as Noted</t>
  </si>
  <si>
    <t>Release fabrication with revised breaker labeling</t>
  </si>
  <si>
    <t>6 days</t>
  </si>
  <si>
    <t>$0</t>
  </si>
  <si>
    <t>Potential Change</t>
  </si>
  <si>
    <t>Owner-requested storefront finish upgrade</t>
  </si>
  <si>
    <t>Owner/Glazing</t>
  </si>
  <si>
    <t>Incorporated into CO-004 after pricing validation</t>
  </si>
  <si>
    <t>9 days</t>
  </si>
  <si>
    <t>$95,000</t>
  </si>
  <si>
    <t>DR-0915</t>
  </si>
  <si>
    <t>Daily Report</t>
  </si>
  <si>
    <t>Steel/deck/envelope/MEP field operations</t>
  </si>
  <si>
    <t>84 workers; 0 incidents; rain 0.2 in.; south elevation recovery crew added</t>
  </si>
  <si>
    <t>1 day</t>
  </si>
  <si>
    <t>MTG-028</t>
  </si>
  <si>
    <t>OAC Minutes</t>
  </si>
  <si>
    <t>Weekly owner-architect-contractor meeting</t>
  </si>
  <si>
    <t>Decisions: protect 9/29 dry-in; maintain gear expedite gate; reject noncritical owner add</t>
  </si>
  <si>
    <t>60 min</t>
  </si>
  <si>
    <t>SAMPLE OAC MEETING MINUTES | 09/15/2026</t>
  </si>
  <si>
    <t>Item</t>
  </si>
  <si>
    <t>Topic</t>
  </si>
  <si>
    <t>Discussion / Decision</t>
  </si>
  <si>
    <t>Due</t>
  </si>
  <si>
    <t>Reference</t>
  </si>
  <si>
    <t>1</t>
  </si>
  <si>
    <t>South elevation recovery crew approved; resequence north glazing prep in parallel.</t>
  </si>
  <si>
    <t>09/18/26</t>
  </si>
  <si>
    <t>Protects critical path</t>
  </si>
  <si>
    <t>SCH-5.1/5.2</t>
  </si>
  <si>
    <t>2</t>
  </si>
  <si>
    <t>Electrical gear</t>
  </si>
  <si>
    <t>Factory ship date 9/28 confirmed. Expedite only if ship date slips &gt;3 days.</t>
  </si>
  <si>
    <t>PM/Electrical</t>
  </si>
  <si>
    <t>09/22/26</t>
  </si>
  <si>
    <t>Avoid unnecessary premium</t>
  </si>
  <si>
    <t>PROC-004</t>
  </si>
  <si>
    <t>3</t>
  </si>
  <si>
    <t>MEP clash Grid C7</t>
  </si>
  <si>
    <t>RFI response accepted; reroute duct branch before ceiling close-in.</t>
  </si>
  <si>
    <t>MEP Lead</t>
  </si>
  <si>
    <t>09/17/26</t>
  </si>
  <si>
    <t>2-day local recovery</t>
  </si>
  <si>
    <t>4</t>
  </si>
  <si>
    <t>Owner changes</t>
  </si>
  <si>
    <t>Defer elective conference-room AV upgrade until contingency review.</t>
  </si>
  <si>
    <t>Owner/PM</t>
  </si>
  <si>
    <t>09/21/26</t>
  </si>
  <si>
    <t>Protect contingency</t>
  </si>
  <si>
    <t>PCO-013</t>
  </si>
  <si>
    <t>5</t>
  </si>
  <si>
    <t>Close scaffold access observation before next shift.</t>
  </si>
  <si>
    <t>09/16/26</t>
  </si>
  <si>
    <t>Zero recordables maintained</t>
  </si>
  <si>
    <t>SAFE-008</t>
  </si>
  <si>
    <t>CORPORATE OPERATIONS CENTER | CONSTRUCTION PM CASE STUDY</t>
  </si>
  <si>
    <t>Project</t>
  </si>
  <si>
    <t>75,000 SF Ground-Up Corporate Operations Center</t>
  </si>
  <si>
    <t>Delivery</t>
  </si>
  <si>
    <t>Corporate commercial construction simulation</t>
  </si>
  <si>
    <t>Baseline Budget</t>
  </si>
  <si>
    <t>$20.6M</t>
  </si>
  <si>
    <t>09/15/2026</t>
  </si>
  <si>
    <t>03/19/2027</t>
  </si>
  <si>
    <t>Current Health</t>
  </si>
  <si>
    <t>AMBER - schedule recovery / contingency watch</t>
  </si>
  <si>
    <t>0 recordable incidents</t>
  </si>
  <si>
    <t>Role</t>
  </si>
  <si>
    <t>Construction Project Manager - Portfolio Simulation</t>
  </si>
  <si>
    <t>BUSINESS / DELIVERY CHALLENGE</t>
  </si>
  <si>
    <t>Deliver a new corporate operations center while controlling a weather-sensitive envelope sequence, long-lead electrical equipment, active design coordination, owner changes, safety, quality, and commissioning requirements. By September, critical envelope and Area A MEP work had slipped, creating pressure on the weather-tight milestone and downstream interiors.</t>
  </si>
  <si>
    <t>PM ACTIONS &amp; CONTROLS</t>
  </si>
  <si>
    <t>Built and maintained an integrated control system covering schedule, budget/forecast, procurement, RFIs, submittals, changes, risks, issues, safety, quality, meetings, stakeholders, and closeout. Used critical-path review and a recovery crew to protect dry-in; established weekly factory calls for electrical gear; enforced formal RFI/submittal and change-control gates; tracked contingency consumption and forecast-at-completion; and escalated executive decisions through a concise monthly status report.</t>
  </si>
  <si>
    <t>MEASURABLE PROJECT OUTCOMES AT STATUS DATE</t>
  </si>
  <si>
    <t>Why it matters</t>
  </si>
  <si>
    <t>PM evidence</t>
  </si>
  <si>
    <t>$20.55M FAC vs $21.057M revised budget</t>
  </si>
  <si>
    <t>Forecast remains within authorized funding</t>
  </si>
  <si>
    <t>Budget_Cost / Dashboard</t>
  </si>
  <si>
    <t>49.9% actual vs 51.7% planned</t>
  </si>
  <si>
    <t>1.8 pp behind; recovery actions active</t>
  </si>
  <si>
    <t>CPM_Gantt / Master_Schedule</t>
  </si>
  <si>
    <t>0 recordables</t>
  </si>
  <si>
    <t>Maintains workforce and delivery continuity</t>
  </si>
  <si>
    <t>Safety_Log</t>
  </si>
  <si>
    <t>Controls</t>
  </si>
  <si>
    <t>3 open RFIs; long-leads released</t>
  </si>
  <si>
    <t>Decision cycle and procurement exposure actively managed</t>
  </si>
  <si>
    <t>RFI_Log /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</si>
</sst>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"/>
    <numFmt numFmtId="166" formatCode="0.0%"/>
    <numFmt numFmtId="167" formatCode="mm/dd/yy"/>
    <numFmt numFmtId="168" formatCode="\$#,##0;[Red]\-\$#,##0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color rgb="FF17365D"/>
      <name val="Carlito"/>
    </font>
    <font>
      <b/>
      <sz val="11"/>
      <name val="Carlito"/>
    </font>
    <font>
      <sz val="8"/>
      <name val="Carlito"/>
    </font>
    <font>
      <b/>
      <sz val="13"/>
      <color rgb="FFFFFFFF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5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wrapText="1"/>
    </xf>
    <xf numFmtId="165" fontId="3" fillId="4" borderId="0" xfId="0" applyNumberFormat="1" applyFont="1" applyFill="1" applyAlignment="1">
      <alignment wrapText="1"/>
    </xf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5" fillId="7" borderId="0" xfId="0" applyFont="1" applyFill="1"/>
    <xf numFmtId="17" fontId="5" fillId="7" borderId="0" xfId="0" applyNumberFormat="1" applyFont="1" applyFill="1"/>
    <xf numFmtId="0" fontId="6" fillId="0" borderId="0" xfId="0" applyFont="1" applyAlignment="1">
      <alignment horizontal="center"/>
    </xf>
    <xf numFmtId="167" fontId="0" fillId="0" borderId="0" xfId="0" applyNumberFormat="1" applyAlignment="1">
      <alignment wrapText="1"/>
    </xf>
    <xf numFmtId="167" fontId="0" fillId="0" borderId="0" xfId="0" applyNumberFormat="1"/>
    <xf numFmtId="17" fontId="0" fillId="0" borderId="0" xfId="0" applyNumberFormat="1"/>
    <xf numFmtId="2" fontId="0" fillId="0" borderId="0" xfId="0" applyNumberFormat="1"/>
    <xf numFmtId="168" fontId="0" fillId="0" borderId="0" xfId="0" applyNumberFormat="1"/>
    <xf numFmtId="0" fontId="1" fillId="8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0" fillId="0" borderId="0" xfId="0" applyAlignment="1">
      <alignment vertical="top"/>
    </xf>
    <xf numFmtId="0" fontId="5" fillId="7" borderId="0" xfId="0" applyFont="1" applyFill="1" applyAlignment="1">
      <alignment vertical="top"/>
    </xf>
    <xf numFmtId="0" fontId="5" fillId="7" borderId="0" xfId="0" applyFont="1" applyFill="1" applyAlignment="1">
      <alignment vertical="top" wrapText="1"/>
    </xf>
    <xf numFmtId="0" fontId="2" fillId="3" borderId="0" xfId="0" applyFont="1" applyFill="1" applyAlignment="1">
      <alignment vertical="center" wrapText="1"/>
    </xf>
    <xf numFmtId="165" fontId="4" fillId="5" borderId="0" xfId="0" applyNumberFormat="1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166" fontId="4" fillId="5" borderId="0" xfId="0" applyNumberFormat="1" applyFont="1" applyFill="1" applyAlignment="1">
      <alignment horizontal="center" wrapText="1"/>
    </xf>
    <xf numFmtId="16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" fillId="6" borderId="0" xfId="0" applyFont="1" applyFill="1"/>
    <xf numFmtId="0" fontId="2" fillId="6" borderId="0" xfId="0" applyFont="1" applyFill="1" applyAlignment="1">
      <alignment horizontal="center" vertical="top"/>
    </xf>
    <xf numFmtId="0" fontId="1" fillId="8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ont>
        <b/>
        <color rgb="FF9C5700"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Revised Budget</c:v>
          </c:tx>
          <c:invertIfNegative val="1"/>
          <c:cat>
            <c:strRef>
              <c:f>Budget_Cost!$B$2:$B$16</c:f>
              <c:strCache>
                <c:ptCount val="15"/>
                <c:pt idx="0">
                  <c:v>General Conditions</c:v>
                </c:pt>
                <c:pt idx="1">
                  <c:v>Sitework &amp; Utilities</c:v>
                </c:pt>
                <c:pt idx="2">
                  <c:v>Concrete</c:v>
                </c:pt>
                <c:pt idx="3">
                  <c:v>Structural Steel</c:v>
                </c:pt>
                <c:pt idx="4">
                  <c:v>Roofing &amp; Waterproofing</c:v>
                </c:pt>
                <c:pt idx="5">
                  <c:v>Glazing / Doors / Hardware</c:v>
                </c:pt>
                <c:pt idx="6">
                  <c:v>Interiors / Finishes</c:v>
                </c:pt>
                <c:pt idx="7">
                  <c:v>Fire Protection</c:v>
                </c:pt>
                <c:pt idx="8">
                  <c:v>Plumbing</c:v>
                </c:pt>
                <c:pt idx="9">
                  <c:v>HVAC / Controls</c:v>
                </c:pt>
                <c:pt idx="10">
                  <c:v>Electrical / Low Voltage</c:v>
                </c:pt>
                <c:pt idx="11">
                  <c:v>Paving / Landscaping</c:v>
                </c:pt>
                <c:pt idx="12">
                  <c:v>Design / Permits / Testing</c:v>
                </c:pt>
                <c:pt idx="13">
                  <c:v>Owner FF&amp;E / IT Allowance</c:v>
                </c:pt>
                <c:pt idx="14">
                  <c:v>Construction Contingency</c:v>
                </c:pt>
              </c:strCache>
            </c:strRef>
          </c:cat>
          <c:val>
            <c:numRef>
              <c:f>Budget_Cost!$E$2:$E$16</c:f>
              <c:numCache>
                <c:formatCode>\$#,##0</c:formatCode>
                <c:ptCount val="15"/>
                <c:pt idx="0">
                  <c:v>1475000</c:v>
                </c:pt>
                <c:pt idx="1">
                  <c:v>1905000</c:v>
                </c:pt>
                <c:pt idx="2">
                  <c:v>2095000</c:v>
                </c:pt>
                <c:pt idx="3">
                  <c:v>3000000</c:v>
                </c:pt>
                <c:pt idx="4">
                  <c:v>840000</c:v>
                </c:pt>
                <c:pt idx="5">
                  <c:v>1355000</c:v>
                </c:pt>
                <c:pt idx="6">
                  <c:v>2125000</c:v>
                </c:pt>
                <c:pt idx="7">
                  <c:v>510000</c:v>
                </c:pt>
                <c:pt idx="8">
                  <c:v>822000</c:v>
                </c:pt>
                <c:pt idx="9">
                  <c:v>1930000</c:v>
                </c:pt>
                <c:pt idx="10">
                  <c:v>2195000</c:v>
                </c:pt>
                <c:pt idx="11">
                  <c:v>760000</c:v>
                </c:pt>
                <c:pt idx="12">
                  <c:v>845000</c:v>
                </c:pt>
                <c:pt idx="13">
                  <c:v>900000</c:v>
                </c:pt>
                <c:pt idx="1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1-4145-AFF2-29502498D941}"/>
            </c:ext>
          </c:extLst>
        </c:ser>
        <c:ser>
          <c:idx val="1"/>
          <c:order val="1"/>
          <c:tx>
            <c:v>Forecast at Completion</c:v>
          </c:tx>
          <c:invertIfNegative val="1"/>
          <c:cat>
            <c:strRef>
              <c:f>Budget_Cost!$B$2:$B$16</c:f>
              <c:strCache>
                <c:ptCount val="15"/>
                <c:pt idx="0">
                  <c:v>General Conditions</c:v>
                </c:pt>
                <c:pt idx="1">
                  <c:v>Sitework &amp; Utilities</c:v>
                </c:pt>
                <c:pt idx="2">
                  <c:v>Concrete</c:v>
                </c:pt>
                <c:pt idx="3">
                  <c:v>Structural Steel</c:v>
                </c:pt>
                <c:pt idx="4">
                  <c:v>Roofing &amp; Waterproofing</c:v>
                </c:pt>
                <c:pt idx="5">
                  <c:v>Glazing / Doors / Hardware</c:v>
                </c:pt>
                <c:pt idx="6">
                  <c:v>Interiors / Finishes</c:v>
                </c:pt>
                <c:pt idx="7">
                  <c:v>Fire Protection</c:v>
                </c:pt>
                <c:pt idx="8">
                  <c:v>Plumbing</c:v>
                </c:pt>
                <c:pt idx="9">
                  <c:v>HVAC / Controls</c:v>
                </c:pt>
                <c:pt idx="10">
                  <c:v>Electrical / Low Voltage</c:v>
                </c:pt>
                <c:pt idx="11">
                  <c:v>Paving / Landscaping</c:v>
                </c:pt>
                <c:pt idx="12">
                  <c:v>Design / Permits / Testing</c:v>
                </c:pt>
                <c:pt idx="13">
                  <c:v>Owner FF&amp;E / IT Allowance</c:v>
                </c:pt>
                <c:pt idx="14">
                  <c:v>Construction Contingency</c:v>
                </c:pt>
              </c:strCache>
            </c:strRef>
          </c:cat>
          <c:val>
            <c:numRef>
              <c:f>Budget_Cost!$I$2:$I$16</c:f>
              <c:numCache>
                <c:formatCode>\$#,##0</c:formatCode>
                <c:ptCount val="15"/>
                <c:pt idx="0">
                  <c:v>1480000</c:v>
                </c:pt>
                <c:pt idx="1">
                  <c:v>1905000</c:v>
                </c:pt>
                <c:pt idx="2">
                  <c:v>2115000</c:v>
                </c:pt>
                <c:pt idx="3">
                  <c:v>2975000</c:v>
                </c:pt>
                <c:pt idx="4">
                  <c:v>820000</c:v>
                </c:pt>
                <c:pt idx="5">
                  <c:v>1320000</c:v>
                </c:pt>
                <c:pt idx="6">
                  <c:v>2060000</c:v>
                </c:pt>
                <c:pt idx="7">
                  <c:v>490000</c:v>
                </c:pt>
                <c:pt idx="8">
                  <c:v>815000</c:v>
                </c:pt>
                <c:pt idx="9">
                  <c:v>1935000</c:v>
                </c:pt>
                <c:pt idx="10">
                  <c:v>2180000</c:v>
                </c:pt>
                <c:pt idx="11">
                  <c:v>700000</c:v>
                </c:pt>
                <c:pt idx="12">
                  <c:v>835000</c:v>
                </c:pt>
                <c:pt idx="13">
                  <c:v>620000</c:v>
                </c:pt>
                <c:pt idx="1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1-4145-AFF2-29502498D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Planned %</c:v>
          </c:tx>
          <c:invertIfNegative val="1"/>
          <c:cat>
            <c:strRef>
              <c:f>Master_Schedule!$C$13:$C$22</c:f>
              <c:strCache>
                <c:ptCount val="10"/>
                <c:pt idx="0">
                  <c:v>Structural steel erection</c:v>
                </c:pt>
                <c:pt idx="1">
                  <c:v>Metal deck and concrete elevated slab</c:v>
                </c:pt>
                <c:pt idx="2">
                  <c:v>Exterior framing and sheathing</c:v>
                </c:pt>
                <c:pt idx="3">
                  <c:v>Roofing system</c:v>
                </c:pt>
                <c:pt idx="4">
                  <c:v>Curtain wall / storefront</c:v>
                </c:pt>
                <c:pt idx="5">
                  <c:v>Underground electrical and plumbing</c:v>
                </c:pt>
                <c:pt idx="6">
                  <c:v>MEP overhead rough-in - Area A</c:v>
                </c:pt>
                <c:pt idx="7">
                  <c:v>MEP overhead rough-in - Area B</c:v>
                </c:pt>
                <c:pt idx="8">
                  <c:v>Main electrical gear delivery</c:v>
                </c:pt>
                <c:pt idx="9">
                  <c:v>AHU / RTU delivery and set</c:v>
                </c:pt>
              </c:strCache>
            </c:strRef>
          </c:cat>
          <c:val>
            <c:numRef>
              <c:f>Master_Schedule!$K$13:$K$22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0.45</c:v>
                </c:pt>
                <c:pt idx="4">
                  <c:v>0.15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  <c:pt idx="8">
                  <c:v>0.8</c:v>
                </c:pt>
                <c:pt idx="9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1-7341-A836-7B67370768FC}"/>
            </c:ext>
          </c:extLst>
        </c:ser>
        <c:ser>
          <c:idx val="1"/>
          <c:order val="1"/>
          <c:tx>
            <c:v>Actual %</c:v>
          </c:tx>
          <c:invertIfNegative val="1"/>
          <c:cat>
            <c:strRef>
              <c:f>Master_Schedule!$C$13:$C$22</c:f>
              <c:strCache>
                <c:ptCount val="10"/>
                <c:pt idx="0">
                  <c:v>Structural steel erection</c:v>
                </c:pt>
                <c:pt idx="1">
                  <c:v>Metal deck and concrete elevated slab</c:v>
                </c:pt>
                <c:pt idx="2">
                  <c:v>Exterior framing and sheathing</c:v>
                </c:pt>
                <c:pt idx="3">
                  <c:v>Roofing system</c:v>
                </c:pt>
                <c:pt idx="4">
                  <c:v>Curtain wall / storefront</c:v>
                </c:pt>
                <c:pt idx="5">
                  <c:v>Underground electrical and plumbing</c:v>
                </c:pt>
                <c:pt idx="6">
                  <c:v>MEP overhead rough-in - Area A</c:v>
                </c:pt>
                <c:pt idx="7">
                  <c:v>MEP overhead rough-in - Area B</c:v>
                </c:pt>
                <c:pt idx="8">
                  <c:v>Main electrical gear delivery</c:v>
                </c:pt>
                <c:pt idx="9">
                  <c:v>AHU / RTU delivery and set</c:v>
                </c:pt>
              </c:strCache>
            </c:strRef>
          </c:cat>
          <c:val>
            <c:numRef>
              <c:f>Master_Schedule!$L$13:$L$22</c:f>
              <c:numCache>
                <c:formatCode>0%</c:formatCode>
                <c:ptCount val="10"/>
                <c:pt idx="0">
                  <c:v>1</c:v>
                </c:pt>
                <c:pt idx="1">
                  <c:v>0.88</c:v>
                </c:pt>
                <c:pt idx="2">
                  <c:v>0.62</c:v>
                </c:pt>
                <c:pt idx="3">
                  <c:v>0.38</c:v>
                </c:pt>
                <c:pt idx="4">
                  <c:v>0.08</c:v>
                </c:pt>
                <c:pt idx="5">
                  <c:v>1</c:v>
                </c:pt>
                <c:pt idx="6">
                  <c:v>0.35</c:v>
                </c:pt>
                <c:pt idx="7">
                  <c:v>0</c:v>
                </c:pt>
                <c:pt idx="8">
                  <c:v>0.76</c:v>
                </c:pt>
                <c:pt idx="9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1-7341-A836-7B673707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Cumulative S-Curve: PV vs EV vs AC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PV</c:v>
          </c:tx>
          <c:marker>
            <c:symbol val="none"/>
          </c:marker>
          <c:cat>
            <c:numRef>
              <c:f>Earned_Value!$A$2:$A$10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Earned_Value!$B$2:$B$10</c:f>
              <c:numCache>
                <c:formatCode>\$#,##0</c:formatCode>
                <c:ptCount val="9"/>
                <c:pt idx="0">
                  <c:v>450000</c:v>
                </c:pt>
                <c:pt idx="1">
                  <c:v>1200000</c:v>
                </c:pt>
                <c:pt idx="2">
                  <c:v>2350000</c:v>
                </c:pt>
                <c:pt idx="3">
                  <c:v>4099999.9999999995</c:v>
                </c:pt>
                <c:pt idx="4">
                  <c:v>6250000</c:v>
                </c:pt>
                <c:pt idx="5">
                  <c:v>8350000</c:v>
                </c:pt>
                <c:pt idx="6">
                  <c:v>10100000</c:v>
                </c:pt>
                <c:pt idx="7">
                  <c:v>11850000</c:v>
                </c:pt>
                <c:pt idx="8">
                  <c:v>13050000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C1-0242-B36F-8CD1623E550C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numRef>
              <c:f>Earned_Value!$A$2:$A$10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Earned_Value!$C$2:$C$10</c:f>
              <c:numCache>
                <c:formatCode>\$#,##0</c:formatCode>
                <c:ptCount val="9"/>
                <c:pt idx="0">
                  <c:v>430000</c:v>
                </c:pt>
                <c:pt idx="1">
                  <c:v>1150000</c:v>
                </c:pt>
                <c:pt idx="2">
                  <c:v>2250000</c:v>
                </c:pt>
                <c:pt idx="3">
                  <c:v>3920000</c:v>
                </c:pt>
                <c:pt idx="4">
                  <c:v>5980000</c:v>
                </c:pt>
                <c:pt idx="5">
                  <c:v>7960000</c:v>
                </c:pt>
                <c:pt idx="6">
                  <c:v>9720000</c:v>
                </c:pt>
                <c:pt idx="7">
                  <c:v>11380000</c:v>
                </c:pt>
                <c:pt idx="8">
                  <c:v>12590000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C1-0242-B36F-8CD1623E550C}"/>
            </c:ext>
          </c:extLst>
        </c:ser>
        <c:ser>
          <c:idx val="2"/>
          <c:order val="2"/>
          <c:tx>
            <c:v>AC</c:v>
          </c:tx>
          <c:marker>
            <c:symbol val="none"/>
          </c:marker>
          <c:cat>
            <c:numRef>
              <c:f>Earned_Value!$A$2:$A$10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Earned_Value!$D$2:$D$10</c:f>
              <c:numCache>
                <c:formatCode>\$#,##0</c:formatCode>
                <c:ptCount val="9"/>
                <c:pt idx="0">
                  <c:v>470000</c:v>
                </c:pt>
                <c:pt idx="1">
                  <c:v>1240000</c:v>
                </c:pt>
                <c:pt idx="2">
                  <c:v>2380000</c:v>
                </c:pt>
                <c:pt idx="3">
                  <c:v>4080000</c:v>
                </c:pt>
                <c:pt idx="4">
                  <c:v>6100000</c:v>
                </c:pt>
                <c:pt idx="5">
                  <c:v>8050000.0000000009</c:v>
                </c:pt>
                <c:pt idx="6">
                  <c:v>9550000</c:v>
                </c:pt>
                <c:pt idx="7">
                  <c:v>10050000</c:v>
                </c:pt>
                <c:pt idx="8">
                  <c:v>10215000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C1-0242-B36F-8CD1623E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1:P35" totalsRowShown="0">
  <tableColumns count="16">
    <tableColumn id="1" xr3:uid="{00000000-0010-0000-0000-000001000000}" name="WBS"/>
    <tableColumn id="2" xr3:uid="{00000000-0010-0000-0000-000002000000}" name="Phase"/>
    <tableColumn id="3" xr3:uid="{00000000-0010-0000-0000-000003000000}" name="Activity"/>
    <tableColumn id="4" xr3:uid="{00000000-0010-0000-0000-000004000000}" name="Owner"/>
    <tableColumn id="5" xr3:uid="{00000000-0010-0000-0000-000005000000}" name="Planned Start"/>
    <tableColumn id="6" xr3:uid="{00000000-0010-0000-0000-000006000000}" name="Planned Finish"/>
    <tableColumn id="7" xr3:uid="{00000000-0010-0000-0000-000007000000}" name="Actual Start"/>
    <tableColumn id="8" xr3:uid="{00000000-0010-0000-0000-000008000000}" name="Actual Finish"/>
    <tableColumn id="9" xr3:uid="{00000000-0010-0000-0000-000009000000}" name="Duration (d)"/>
    <tableColumn id="10" xr3:uid="{00000000-0010-0000-0000-00000A000000}" name="Predecessor"/>
    <tableColumn id="11" xr3:uid="{00000000-0010-0000-0000-00000B000000}" name="Planned %"/>
    <tableColumn id="12" xr3:uid="{00000000-0010-0000-0000-00000C000000}" name="Actual %"/>
    <tableColumn id="13" xr3:uid="{00000000-0010-0000-0000-00000D000000}" name="Status"/>
    <tableColumn id="14" xr3:uid="{00000000-0010-0000-0000-00000E000000}" name="Variance (pp)"/>
    <tableColumn id="15" xr3:uid="{00000000-0010-0000-0000-00000F000000}" name="Critical?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Table" displayName="CostTable" ref="A1:N16" totalsRowShown="0">
  <tableColumns count="14">
    <tableColumn id="1" xr3:uid="{00000000-0010-0000-0100-000001000000}" name="Cost Code"/>
    <tableColumn id="2" xr3:uid="{00000000-0010-0000-0100-000002000000}" name="Cost Category"/>
    <tableColumn id="3" xr3:uid="{00000000-0010-0000-0100-000003000000}" name="Original Budget"/>
    <tableColumn id="4" xr3:uid="{00000000-0010-0000-0100-000004000000}" name="Approved Changes"/>
    <tableColumn id="5" xr3:uid="{00000000-0010-0000-0100-000005000000}" name="Revised Budget"/>
    <tableColumn id="6" xr3:uid="{00000000-0010-0000-0100-000006000000}" name="Committed"/>
    <tableColumn id="7" xr3:uid="{00000000-0010-0000-0100-000007000000}" name="Actual Cost to Date"/>
    <tableColumn id="8" xr3:uid="{00000000-0010-0000-0100-000008000000}" name="ETC"/>
    <tableColumn id="9" xr3:uid="{00000000-0010-0000-0100-000009000000}" name="Forecast at Completion"/>
    <tableColumn id="10" xr3:uid="{00000000-0010-0000-0100-00000A000000}" name="Variance to Budget"/>
    <tableColumn id="11" xr3:uid="{00000000-0010-0000-0100-00000B000000}" name="% Committed"/>
    <tableColumn id="12" xr3:uid="{00000000-0010-0000-0100-00000C000000}" name="% Spent"/>
    <tableColumn id="13" xr3:uid="{00000000-0010-0000-0100-00000D000000}" name="Status"/>
    <tableColumn id="14" xr3:uid="{00000000-0010-0000-0100-00000E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curementTable" displayName="ProcurementTable" ref="A1:M11" totalsRowShown="0">
  <tableColumns count="13">
    <tableColumn id="1" xr3:uid="{00000000-0010-0000-0200-000001000000}" name="Package"/>
    <tableColumn id="2" xr3:uid="{00000000-0010-0000-0200-000002000000}" name="Trade/Vendor"/>
    <tableColumn id="3" xr3:uid="{00000000-0010-0000-0200-000003000000}" name="Scope"/>
    <tableColumn id="4" xr3:uid="{00000000-0010-0000-0200-000004000000}" name="Budget"/>
    <tableColumn id="5" xr3:uid="{00000000-0010-0000-0200-000005000000}" name="Bid Due"/>
    <tableColumn id="6" xr3:uid="{00000000-0010-0000-0200-000006000000}" name="Award Date"/>
    <tableColumn id="7" xr3:uid="{00000000-0010-0000-0200-000007000000}" name="Submittal Due"/>
    <tableColumn id="8" xr3:uid="{00000000-0010-0000-0200-000008000000}" name="Required On Site"/>
    <tableColumn id="9" xr3:uid="{00000000-0010-0000-0200-000009000000}" name="Current Forecast"/>
    <tableColumn id="10" xr3:uid="{00000000-0010-0000-0200-00000A000000}" name="Lead Time (wks)"/>
    <tableColumn id="11" xr3:uid="{00000000-0010-0000-0200-00000B000000}" name="Status"/>
    <tableColumn id="12" xr3:uid="{00000000-0010-0000-0200-00000C000000}" name="Owner"/>
    <tableColumn id="13" xr3:uid="{00000000-0010-0000-0200-00000D000000}" name="Risk/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FITable" displayName="RFITable" ref="A1:M16" totalsRowShown="0">
  <tableColumns count="13">
    <tableColumn id="1" xr3:uid="{00000000-0010-0000-0300-000001000000}" name="RFI #"/>
    <tableColumn id="2" xr3:uid="{00000000-0010-0000-0300-000002000000}" name="Date Submitted"/>
    <tableColumn id="3" xr3:uid="{00000000-0010-0000-0300-000003000000}" name="Discipline"/>
    <tableColumn id="4" xr3:uid="{00000000-0010-0000-0300-000004000000}" name="Subject"/>
    <tableColumn id="5" xr3:uid="{00000000-0010-0000-0300-000005000000}" name="Submitted By"/>
    <tableColumn id="6" xr3:uid="{00000000-0010-0000-0300-000006000000}" name="Ball In Court"/>
    <tableColumn id="7" xr3:uid="{00000000-0010-0000-0300-000007000000}" name="Due Date"/>
    <tableColumn id="8" xr3:uid="{00000000-0010-0000-0300-000008000000}" name="Answered Date"/>
    <tableColumn id="9" xr3:uid="{00000000-0010-0000-0300-000009000000}" name="Status"/>
    <tableColumn id="10" xr3:uid="{00000000-0010-0000-0300-00000A000000}" name="Schedule Impact (days)"/>
    <tableColumn id="11" xr3:uid="{00000000-0010-0000-0300-00000B000000}" name="Cost Impact"/>
    <tableColumn id="12" xr3:uid="{00000000-0010-0000-0300-00000C000000}" name="Related CO"/>
    <tableColumn id="13" xr3:uid="{00000000-0010-0000-0300-00000D000000}" name="Resolution / De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bmittalTable" displayName="SubmittalTable" ref="A1:M15" totalsRowShown="0">
  <tableColumns count="13">
    <tableColumn id="1" xr3:uid="{00000000-0010-0000-0400-000001000000}" name="Submittal #"/>
    <tableColumn id="2" xr3:uid="{00000000-0010-0000-0400-000002000000}" name="Spec Section"/>
    <tableColumn id="3" xr3:uid="{00000000-0010-0000-0400-000003000000}" name="Package"/>
    <tableColumn id="4" xr3:uid="{00000000-0010-0000-0400-000004000000}" name="Description"/>
    <tableColumn id="5" xr3:uid="{00000000-0010-0000-0400-000005000000}" name="Trade"/>
    <tableColumn id="6" xr3:uid="{00000000-0010-0000-0400-000006000000}" name="Submitted"/>
    <tableColumn id="7" xr3:uid="{00000000-0010-0000-0400-000007000000}" name="Review Due"/>
    <tableColumn id="8" xr3:uid="{00000000-0010-0000-0400-000008000000}" name="Returned"/>
    <tableColumn id="9" xr3:uid="{00000000-0010-0000-0400-000009000000}" name="Status"/>
    <tableColumn id="10" xr3:uid="{00000000-0010-0000-0400-00000A000000}" name="Rev"/>
    <tableColumn id="11" xr3:uid="{00000000-0010-0000-0400-00000B000000}" name="Required On Site"/>
    <tableColumn id="12" xr3:uid="{00000000-0010-0000-0400-00000C000000}" name="Days Float"/>
    <tableColumn id="13" xr3:uid="{00000000-0010-0000-0400-00000D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hangeTable" displayName="ChangeTable" ref="A1:L13" totalsRowShown="0">
  <tableColumns count="12">
    <tableColumn id="1" xr3:uid="{00000000-0010-0000-0500-000001000000}" name="Change #"/>
    <tableColumn id="2" xr3:uid="{00000000-0010-0000-0500-000002000000}" name="Date"/>
    <tableColumn id="3" xr3:uid="{00000000-0010-0000-0500-000003000000}" name="Title"/>
    <tableColumn id="4" xr3:uid="{00000000-0010-0000-0500-000004000000}" name="Origin"/>
    <tableColumn id="5" xr3:uid="{00000000-0010-0000-0500-000005000000}" name="Reason"/>
    <tableColumn id="6" xr3:uid="{00000000-0010-0000-0500-000006000000}" name="ROM / Proposed"/>
    <tableColumn id="7" xr3:uid="{00000000-0010-0000-0500-000007000000}" name="Approved Amount"/>
    <tableColumn id="8" xr3:uid="{00000000-0010-0000-0500-000008000000}" name="Status"/>
    <tableColumn id="9" xr3:uid="{00000000-0010-0000-0500-000009000000}" name="Budget Code"/>
    <tableColumn id="10" xr3:uid="{00000000-0010-0000-0500-00000A000000}" name="Schedule Impact (days)"/>
    <tableColumn id="11" xr3:uid="{00000000-0010-0000-0500-00000B000000}" name="Owner Decision Due"/>
    <tableColumn id="12" xr3:uid="{00000000-0010-0000-0500-00000C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Table" displayName="RiskTable" ref="A1:M9" totalsRowShown="0">
  <tableColumns count="13">
    <tableColumn id="1" xr3:uid="{00000000-0010-0000-0600-000001000000}" name="Risk ID"/>
    <tableColumn id="2" xr3:uid="{00000000-0010-0000-0600-000002000000}" name="Category"/>
    <tableColumn id="3" xr3:uid="{00000000-0010-0000-0600-000003000000}" name="Risk Statement"/>
    <tableColumn id="4" xr3:uid="{00000000-0010-0000-0600-000004000000}" name="Probability (1-5)"/>
    <tableColumn id="5" xr3:uid="{00000000-0010-0000-0600-000005000000}" name="Impact (1-5)"/>
    <tableColumn id="6" xr3:uid="{00000000-0010-0000-0600-000006000000}" name="Score"/>
    <tableColumn id="7" xr3:uid="{00000000-0010-0000-0600-000007000000}" name="Level"/>
    <tableColumn id="8" xr3:uid="{00000000-0010-0000-0600-000008000000}" name="Trigger"/>
    <tableColumn id="9" xr3:uid="{00000000-0010-0000-0600-000009000000}" name="Mitigation / Response"/>
    <tableColumn id="10" xr3:uid="{00000000-0010-0000-0600-00000A000000}" name="Owner"/>
    <tableColumn id="11" xr3:uid="{00000000-0010-0000-0600-00000B000000}" name="Target Date"/>
    <tableColumn id="12" xr3:uid="{00000000-0010-0000-0600-00000C000000}" name="Status"/>
    <tableColumn id="13" xr3:uid="{00000000-0010-0000-0600-00000D000000}" name="Residual 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ssueTable" displayName="IssueTable" ref="A1:J6" totalsRowShown="0">
  <tableColumns count="10">
    <tableColumn id="1" xr3:uid="{00000000-0010-0000-0700-000001000000}" name="Issue ID"/>
    <tableColumn id="2" xr3:uid="{00000000-0010-0000-0700-000002000000}" name="Date Opened"/>
    <tableColumn id="3" xr3:uid="{00000000-0010-0000-0700-000003000000}" name="Issue"/>
    <tableColumn id="4" xr3:uid="{00000000-0010-0000-0700-000004000000}" name="Impact"/>
    <tableColumn id="5" xr3:uid="{00000000-0010-0000-0700-000005000000}" name="Owner"/>
    <tableColumn id="6" xr3:uid="{00000000-0010-0000-0700-000006000000}" name="Priority"/>
    <tableColumn id="7" xr3:uid="{00000000-0010-0000-0700-000007000000}" name="Due Date"/>
    <tableColumn id="8" xr3:uid="{00000000-0010-0000-0700-000008000000}" name="Status"/>
    <tableColumn id="9" xr3:uid="{00000000-0010-0000-0700-000009000000}" name="Decision / Next Step"/>
    <tableColumn id="10" xr3:uid="{00000000-0010-0000-0700-00000A000000}" name="Closed 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afetyTable" displayName="SafetyTable" ref="A1:J9" totalsRowShown="0">
  <tableColumns count="10">
    <tableColumn id="1" xr3:uid="{00000000-0010-0000-0800-000001000000}" name="Date"/>
    <tableColumn id="2" xr3:uid="{00000000-0010-0000-0800-000002000000}" name="Event Type"/>
    <tableColumn id="3" xr3:uid="{00000000-0010-0000-0800-000003000000}" name="Location"/>
    <tableColumn id="4" xr3:uid="{00000000-0010-0000-0800-000004000000}" name="Description"/>
    <tableColumn id="5" xr3:uid="{00000000-0010-0000-0800-000005000000}" name="Severity"/>
    <tableColumn id="6" xr3:uid="{00000000-0010-0000-0800-000006000000}" name="Responsible Party"/>
    <tableColumn id="7" xr3:uid="{00000000-0010-0000-0800-000007000000}" name="Immediate Action"/>
    <tableColumn id="8" xr3:uid="{00000000-0010-0000-0800-000008000000}" name="Corrective Action"/>
    <tableColumn id="9" xr3:uid="{00000000-0010-0000-0800-000009000000}" name="Status"/>
    <tableColumn id="10" xr3:uid="{00000000-0010-0000-0800-00000A000000}" name="Recordable?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alityTable" displayName="QualityTable" ref="A1:K9" totalsRowShown="0">
  <tableColumns count="11">
    <tableColumn id="1" xr3:uid="{00000000-0010-0000-0900-000001000000}" name="QC ID"/>
    <tableColumn id="2" xr3:uid="{00000000-0010-0000-0900-000002000000}" name="Date"/>
    <tableColumn id="3" xr3:uid="{00000000-0010-0000-0900-000003000000}" name="Area / Trade"/>
    <tableColumn id="4" xr3:uid="{00000000-0010-0000-0900-000004000000}" name="Inspection / Test"/>
    <tableColumn id="5" xr3:uid="{00000000-0010-0000-0900-000005000000}" name="Requirement"/>
    <tableColumn id="6" xr3:uid="{00000000-0010-0000-0900-000006000000}" name="Result"/>
    <tableColumn id="7" xr3:uid="{00000000-0010-0000-0900-000007000000}" name="Deficiency"/>
    <tableColumn id="8" xr3:uid="{00000000-0010-0000-0900-000008000000}" name="Responsible Party"/>
    <tableColumn id="9" xr3:uid="{00000000-0010-0000-0900-000009000000}" name="Due Date"/>
    <tableColumn id="10" xr3:uid="{00000000-0010-0000-0900-00000A000000}" name="Status"/>
    <tableColumn id="11" xr3:uid="{00000000-0010-0000-0900-00000B000000}" name="Verific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takeholderTable" displayName="StakeholderTable" ref="A1:I11" totalsRowShown="0">
  <tableColumns count="9">
    <tableColumn id="1" xr3:uid="{00000000-0010-0000-0A00-000001000000}" name="Stakeholder"/>
    <tableColumn id="2" xr3:uid="{00000000-0010-0000-0A00-000002000000}" name="Organization / Role"/>
    <tableColumn id="3" xr3:uid="{00000000-0010-0000-0A00-000003000000}" name="Influence"/>
    <tableColumn id="4" xr3:uid="{00000000-0010-0000-0A00-000004000000}" name="Interest"/>
    <tableColumn id="5" xr3:uid="{00000000-0010-0000-0A00-000005000000}" name="Communication Need"/>
    <tableColumn id="6" xr3:uid="{00000000-0010-0000-0A00-000006000000}" name="Cadence"/>
    <tableColumn id="7" xr3:uid="{00000000-0010-0000-0A00-000007000000}" name="Channel"/>
    <tableColumn id="8" xr3:uid="{00000000-0010-0000-0A00-000008000000}" name="Owner"/>
    <tableColumn id="9" xr3:uid="{00000000-0010-0000-0A00-000009000000}" name="Success Measu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ctionTable" displayName="ActionTable" ref="A1:J9" totalsRowShown="0">
  <tableColumns count="10">
    <tableColumn id="1" xr3:uid="{00000000-0010-0000-0B00-000001000000}" name="Action ID"/>
    <tableColumn id="2" xr3:uid="{00000000-0010-0000-0B00-000002000000}" name="Meeting"/>
    <tableColumn id="3" xr3:uid="{00000000-0010-0000-0B00-000003000000}" name="Date Opened"/>
    <tableColumn id="4" xr3:uid="{00000000-0010-0000-0B00-000004000000}" name="Action"/>
    <tableColumn id="5" xr3:uid="{00000000-0010-0000-0B00-000005000000}" name="Owner"/>
    <tableColumn id="6" xr3:uid="{00000000-0010-0000-0B00-000006000000}" name="Due Date"/>
    <tableColumn id="7" xr3:uid="{00000000-0010-0000-0B00-000007000000}" name="Priority"/>
    <tableColumn id="8" xr3:uid="{00000000-0010-0000-0B00-000008000000}" name="Status"/>
    <tableColumn id="9" xr3:uid="{00000000-0010-0000-0B00-000009000000}" name="Dependency"/>
    <tableColumn id="10" xr3:uid="{00000000-0010-0000-0B00-00000A000000}" name="Completion 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loseoutTable" displayName="CloseoutTable" ref="A1:J11" totalsRowShown="0">
  <tableColumns count="10">
    <tableColumn id="1" xr3:uid="{00000000-0010-0000-0C00-000001000000}" name="Item ID"/>
    <tableColumn id="2" xr3:uid="{00000000-0010-0000-0C00-000002000000}" name="Category"/>
    <tableColumn id="3" xr3:uid="{00000000-0010-0000-0C00-000003000000}" name="Requirement"/>
    <tableColumn id="4" xr3:uid="{00000000-0010-0000-0C00-000004000000}" name="Responsible Party"/>
    <tableColumn id="5" xr3:uid="{00000000-0010-0000-0C00-000005000000}" name="Planned Due"/>
    <tableColumn id="6" xr3:uid="{00000000-0010-0000-0C00-000006000000}" name="Actual / Forecast"/>
    <tableColumn id="7" xr3:uid="{00000000-0010-0000-0C00-000007000000}" name="Status"/>
    <tableColumn id="8" xr3:uid="{00000000-0010-0000-0C00-000008000000}" name="% Complete"/>
    <tableColumn id="9" xr3:uid="{00000000-0010-0000-0C00-000009000000}" name="Retention Link"/>
    <tableColumn id="10" xr3:uid="{00000000-0010-0000-0C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selection sqref="A1:L2"/>
    </sheetView>
  </sheetViews>
  <sheetFormatPr baseColWidth="10" defaultColWidth="8.83203125" defaultRowHeight="15"/>
  <cols>
    <col min="1" max="2" width="12" customWidth="1"/>
    <col min="3" max="4" width="17" customWidth="1"/>
    <col min="5" max="7" width="15" customWidth="1"/>
    <col min="8" max="8" width="22" customWidth="1"/>
    <col min="9" max="10" width="14" customWidth="1"/>
    <col min="11" max="11" width="16" customWidth="1"/>
    <col min="12" max="12" width="12" customWidth="1"/>
  </cols>
  <sheetData>
    <row r="1" spans="1:12" ht="37.2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2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6.75" customHeight="1">
      <c r="A3" s="10" t="s">
        <v>1</v>
      </c>
      <c r="B3" s="11">
        <v>46276</v>
      </c>
      <c r="C3" s="11" t="s">
        <v>2</v>
      </c>
      <c r="D3" s="11">
        <v>46034</v>
      </c>
      <c r="E3" s="11" t="s">
        <v>3</v>
      </c>
      <c r="F3" s="11">
        <v>46465</v>
      </c>
      <c r="G3" s="10" t="s">
        <v>4</v>
      </c>
      <c r="H3" s="12">
        <v>20600000</v>
      </c>
      <c r="I3" s="10" t="s">
        <v>5</v>
      </c>
      <c r="J3" s="10" t="s">
        <v>6</v>
      </c>
      <c r="K3" s="10"/>
      <c r="L3" s="10"/>
    </row>
    <row r="4" spans="1:12" ht="26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6.75" customHeight="1">
      <c r="A5" s="35" t="s">
        <v>7</v>
      </c>
      <c r="B5" s="33"/>
      <c r="C5" s="35" t="s">
        <v>8</v>
      </c>
      <c r="D5" s="33"/>
      <c r="E5" s="35" t="s">
        <v>9</v>
      </c>
      <c r="F5" s="33"/>
      <c r="G5" s="35" t="s">
        <v>10</v>
      </c>
      <c r="H5" s="33"/>
      <c r="I5" s="35" t="s">
        <v>11</v>
      </c>
      <c r="J5" s="33"/>
      <c r="K5" s="35" t="s">
        <v>12</v>
      </c>
      <c r="L5" s="33"/>
    </row>
    <row r="6" spans="1:12" ht="26.75" customHeight="1">
      <c r="A6" s="29">
        <f>SUM(Budget_Cost!E2:E16)</f>
        <v>21057000</v>
      </c>
      <c r="B6" s="30"/>
      <c r="C6" s="29">
        <f>SUM(Budget_Cost!I2:I16)</f>
        <v>20550000</v>
      </c>
      <c r="D6" s="30"/>
      <c r="E6" s="29">
        <f>A6-C6</f>
        <v>507000</v>
      </c>
      <c r="F6" s="30"/>
      <c r="G6" s="29">
        <f>SUM(Budget_Cost!G2:G16)</f>
        <v>10215000</v>
      </c>
      <c r="H6" s="33"/>
      <c r="I6" s="34">
        <f>COUNTIF(RFI_Log!I2:I16,"Open")</f>
        <v>3</v>
      </c>
      <c r="J6" s="33"/>
      <c r="K6" s="34">
        <f>COUNTIF(Risk_Register!L2:L9,"Open")</f>
        <v>8</v>
      </c>
      <c r="L6" s="33"/>
    </row>
    <row r="7" spans="1:12" ht="26.75" customHeight="1">
      <c r="A7" s="30"/>
      <c r="B7" s="30"/>
      <c r="C7" s="30"/>
      <c r="D7" s="30"/>
      <c r="E7" s="30"/>
      <c r="F7" s="30"/>
      <c r="G7" s="30"/>
      <c r="H7" s="33"/>
      <c r="I7" s="33"/>
      <c r="J7" s="33"/>
      <c r="K7" s="33"/>
      <c r="L7" s="33"/>
    </row>
    <row r="8" spans="1:12" ht="26.75" customHeight="1">
      <c r="A8" s="35" t="s">
        <v>13</v>
      </c>
      <c r="B8" s="33"/>
      <c r="C8" s="35" t="s">
        <v>14</v>
      </c>
      <c r="D8" s="33"/>
      <c r="E8" s="35" t="s">
        <v>15</v>
      </c>
      <c r="F8" s="33"/>
      <c r="G8" s="35" t="s">
        <v>16</v>
      </c>
      <c r="H8" s="33"/>
      <c r="I8" s="35" t="s">
        <v>17</v>
      </c>
      <c r="J8" s="33"/>
      <c r="K8" s="35" t="s">
        <v>18</v>
      </c>
      <c r="L8" s="33"/>
    </row>
    <row r="9" spans="1:12" ht="26.75" customHeight="1">
      <c r="A9" s="31">
        <f>AVERAGE(Master_Schedule!K2:K35)</f>
        <v>0.5167647058823529</v>
      </c>
      <c r="B9" s="32"/>
      <c r="C9" s="31">
        <f>AVERAGE(Master_Schedule!L2:L35)</f>
        <v>0.49852941176470589</v>
      </c>
      <c r="D9" s="32"/>
      <c r="E9" s="31">
        <f>C9-A9</f>
        <v>-1.8235294117647016E-2</v>
      </c>
      <c r="F9" s="33"/>
      <c r="G9" s="29">
        <f>SUM(Change_Log!G2:G13)</f>
        <v>564500</v>
      </c>
      <c r="H9" s="30"/>
      <c r="I9" s="34">
        <f>COUNTIFS(Meeting_Actions!H2:H9,"&lt;&gt;Complete")</f>
        <v>8</v>
      </c>
      <c r="J9" s="33"/>
      <c r="K9" s="34">
        <f>COUNTIF(Safety_Log!J2:J9,"Yes")</f>
        <v>0</v>
      </c>
      <c r="L9" s="33"/>
    </row>
    <row r="10" spans="1:12" ht="26.75" customHeight="1">
      <c r="A10" s="32"/>
      <c r="B10" s="32"/>
      <c r="C10" s="32"/>
      <c r="D10" s="32"/>
      <c r="E10" s="32"/>
      <c r="F10" s="33"/>
      <c r="G10" s="30"/>
      <c r="H10" s="30"/>
      <c r="I10" s="33"/>
      <c r="J10" s="33"/>
      <c r="K10" s="33"/>
      <c r="L10" s="33"/>
    </row>
    <row r="11" spans="1:12" ht="26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6.75" customHeight="1">
      <c r="A12" s="36" t="s">
        <v>19</v>
      </c>
      <c r="B12" s="36"/>
      <c r="C12" s="36"/>
      <c r="D12" s="36"/>
      <c r="E12" s="36"/>
      <c r="F12" s="36"/>
      <c r="G12" s="1"/>
      <c r="H12" s="36" t="s">
        <v>20</v>
      </c>
      <c r="I12" s="36"/>
      <c r="J12" s="36"/>
      <c r="K12" s="36"/>
      <c r="L12" s="36"/>
    </row>
    <row r="13" spans="1:12" ht="26.75" customHeight="1">
      <c r="A13" s="1" t="s">
        <v>21</v>
      </c>
      <c r="B13" s="1" t="s">
        <v>22</v>
      </c>
      <c r="C13" s="36" t="s">
        <v>23</v>
      </c>
      <c r="D13" s="36"/>
      <c r="E13" s="36" t="s">
        <v>24</v>
      </c>
      <c r="F13" s="36"/>
      <c r="G13" s="36"/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29</v>
      </c>
    </row>
    <row r="14" spans="1:12" ht="45.25" customHeight="1">
      <c r="A14" s="9" t="s">
        <v>30</v>
      </c>
      <c r="B14" s="2" t="s">
        <v>31</v>
      </c>
      <c r="C14" s="33" t="s">
        <v>32</v>
      </c>
      <c r="D14" s="33"/>
      <c r="E14" s="33" t="s">
        <v>33</v>
      </c>
      <c r="F14" s="33"/>
      <c r="G14" s="33"/>
      <c r="H14" s="2" t="s">
        <v>34</v>
      </c>
      <c r="I14" s="2" t="s">
        <v>35</v>
      </c>
      <c r="J14" s="2" t="s">
        <v>36</v>
      </c>
      <c r="K14" s="2" t="s">
        <v>37</v>
      </c>
      <c r="L14" s="2" t="s">
        <v>38</v>
      </c>
    </row>
    <row r="15" spans="1:12" ht="45.25" customHeight="1">
      <c r="A15" s="9" t="s">
        <v>39</v>
      </c>
      <c r="B15" s="2" t="s">
        <v>31</v>
      </c>
      <c r="C15" s="33" t="s">
        <v>40</v>
      </c>
      <c r="D15" s="33"/>
      <c r="E15" s="33" t="s">
        <v>41</v>
      </c>
      <c r="F15" s="33"/>
      <c r="G15" s="33"/>
      <c r="H15" s="2" t="s">
        <v>42</v>
      </c>
      <c r="I15" s="2" t="s">
        <v>43</v>
      </c>
      <c r="J15" s="2" t="s">
        <v>44</v>
      </c>
      <c r="K15" s="2" t="s">
        <v>45</v>
      </c>
      <c r="L15" s="2" t="s">
        <v>46</v>
      </c>
    </row>
    <row r="16" spans="1:12" ht="45.25" customHeight="1">
      <c r="A16" s="9" t="s">
        <v>47</v>
      </c>
      <c r="B16" s="2" t="s">
        <v>48</v>
      </c>
      <c r="C16" s="33" t="s">
        <v>49</v>
      </c>
      <c r="D16" s="33"/>
      <c r="E16" s="33" t="s">
        <v>50</v>
      </c>
      <c r="F16" s="33"/>
      <c r="G16" s="33"/>
      <c r="H16" s="2" t="s">
        <v>51</v>
      </c>
      <c r="I16" s="2" t="s">
        <v>52</v>
      </c>
      <c r="J16" s="2" t="s">
        <v>52</v>
      </c>
      <c r="K16" s="2" t="s">
        <v>53</v>
      </c>
      <c r="L16" s="2" t="s">
        <v>54</v>
      </c>
    </row>
    <row r="17" spans="1:12" ht="45.25" customHeight="1">
      <c r="A17" s="9" t="s">
        <v>55</v>
      </c>
      <c r="B17" s="2" t="s">
        <v>48</v>
      </c>
      <c r="C17" s="33" t="s">
        <v>56</v>
      </c>
      <c r="D17" s="33"/>
      <c r="E17" s="33" t="s">
        <v>57</v>
      </c>
      <c r="F17" s="33"/>
      <c r="G17" s="33"/>
      <c r="H17" s="2" t="s">
        <v>58</v>
      </c>
      <c r="I17" s="2" t="s">
        <v>52</v>
      </c>
      <c r="J17" s="2" t="s">
        <v>59</v>
      </c>
      <c r="K17" s="2" t="s">
        <v>60</v>
      </c>
      <c r="L17" s="2" t="s">
        <v>54</v>
      </c>
    </row>
    <row r="18" spans="1:12" ht="45.25" customHeight="1">
      <c r="A18" s="9" t="s">
        <v>61</v>
      </c>
      <c r="B18" s="2" t="s">
        <v>31</v>
      </c>
      <c r="C18" s="33" t="s">
        <v>62</v>
      </c>
      <c r="D18" s="33"/>
      <c r="E18" s="33" t="s">
        <v>63</v>
      </c>
      <c r="F18" s="33"/>
      <c r="G18" s="33"/>
      <c r="H18" s="2" t="s">
        <v>64</v>
      </c>
      <c r="I18" s="2" t="s">
        <v>65</v>
      </c>
      <c r="J18" s="2" t="s">
        <v>66</v>
      </c>
      <c r="K18" s="2" t="s">
        <v>67</v>
      </c>
      <c r="L18" s="2" t="s">
        <v>46</v>
      </c>
    </row>
    <row r="19" spans="1:12" ht="26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6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6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6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6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6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39">
    <mergeCell ref="C16:D16"/>
    <mergeCell ref="E16:G16"/>
    <mergeCell ref="C17:D17"/>
    <mergeCell ref="E17:G17"/>
    <mergeCell ref="C18:D18"/>
    <mergeCell ref="E18:G18"/>
    <mergeCell ref="C13:D13"/>
    <mergeCell ref="E13:G13"/>
    <mergeCell ref="C14:D14"/>
    <mergeCell ref="E14:G14"/>
    <mergeCell ref="C15:D15"/>
    <mergeCell ref="E15:G15"/>
    <mergeCell ref="I5:J5"/>
    <mergeCell ref="I8:J8"/>
    <mergeCell ref="K5:L5"/>
    <mergeCell ref="K8:L8"/>
    <mergeCell ref="A12:F12"/>
    <mergeCell ref="H12:L12"/>
    <mergeCell ref="C8:D8"/>
    <mergeCell ref="E5:F5"/>
    <mergeCell ref="E8:F8"/>
    <mergeCell ref="G5:H5"/>
    <mergeCell ref="G8:H8"/>
    <mergeCell ref="A1:L2"/>
    <mergeCell ref="A6:B7"/>
    <mergeCell ref="A9:B10"/>
    <mergeCell ref="C6:D7"/>
    <mergeCell ref="C9:D10"/>
    <mergeCell ref="E6:F7"/>
    <mergeCell ref="E9:F10"/>
    <mergeCell ref="G6:H7"/>
    <mergeCell ref="G9:H10"/>
    <mergeCell ref="I6:J7"/>
    <mergeCell ref="I9:J10"/>
    <mergeCell ref="K6:L7"/>
    <mergeCell ref="K9:L10"/>
    <mergeCell ref="A5:B5"/>
    <mergeCell ref="A8:B8"/>
    <mergeCell ref="C5:D5"/>
  </mergeCells>
  <conditionalFormatting sqref="B14:B18">
    <cfRule type="expression" dxfId="7" priority="1">
      <formula>B14="GREEN"</formula>
    </cfRule>
    <cfRule type="expression" dxfId="6" priority="2">
      <formula>B14="AMBER"</formula>
    </cfRule>
    <cfRule type="expression" dxfId="5" priority="3">
      <formula>B14="RED"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workbookViewId="0"/>
  </sheetViews>
  <sheetFormatPr baseColWidth="10" defaultColWidth="8.83203125" defaultRowHeight="15"/>
  <cols>
    <col min="1" max="1" width="4.1640625" customWidth="1"/>
    <col min="2" max="2" width="12.33203125" customWidth="1"/>
    <col min="3" max="3" width="34" customWidth="1"/>
    <col min="4" max="4" width="15.33203125" customWidth="1"/>
    <col min="5" max="5" width="10.83203125" customWidth="1"/>
    <col min="6" max="6" width="11.6640625" customWidth="1"/>
    <col min="7" max="7" width="9.5" customWidth="1"/>
    <col min="8" max="8" width="10.1640625" customWidth="1"/>
    <col min="9" max="10" width="9.6640625" customWidth="1"/>
    <col min="11" max="11" width="8.5" customWidth="1"/>
    <col min="12" max="12" width="7.1640625" customWidth="1"/>
    <col min="13" max="13" width="9.1640625" customWidth="1"/>
    <col min="14" max="14" width="10.6640625" customWidth="1"/>
    <col min="15" max="15" width="6.6640625" customWidth="1"/>
    <col min="16" max="16" width="34" customWidth="1"/>
  </cols>
  <sheetData>
    <row r="1" spans="1:16" ht="20" customHeight="1">
      <c r="A1" s="3" t="s">
        <v>68</v>
      </c>
      <c r="B1" s="3" t="s">
        <v>69</v>
      </c>
      <c r="C1" s="3" t="s">
        <v>70</v>
      </c>
      <c r="D1" s="3" t="s">
        <v>28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</row>
    <row r="2" spans="1:16" ht="20" customHeight="1">
      <c r="A2" s="4" t="s">
        <v>83</v>
      </c>
      <c r="B2" s="4" t="s">
        <v>84</v>
      </c>
      <c r="C2" s="4" t="s">
        <v>85</v>
      </c>
      <c r="D2" s="4" t="s">
        <v>86</v>
      </c>
      <c r="E2" s="5">
        <v>46034</v>
      </c>
      <c r="F2" s="5">
        <v>46045</v>
      </c>
      <c r="G2" s="5">
        <v>46034</v>
      </c>
      <c r="H2" s="5">
        <v>46044</v>
      </c>
      <c r="I2" s="4">
        <v>12</v>
      </c>
      <c r="J2" s="4"/>
      <c r="K2" s="6">
        <v>1</v>
      </c>
      <c r="L2" s="6">
        <v>1</v>
      </c>
      <c r="M2" s="6" t="s">
        <v>87</v>
      </c>
      <c r="N2" s="6">
        <f t="shared" ref="N2:N35" si="0">L2-K2</f>
        <v>0</v>
      </c>
      <c r="O2" s="4" t="s">
        <v>88</v>
      </c>
      <c r="P2" s="4" t="s">
        <v>89</v>
      </c>
    </row>
    <row r="3" spans="1:16" ht="20" customHeight="1">
      <c r="A3" s="4" t="s">
        <v>90</v>
      </c>
      <c r="B3" s="4" t="s">
        <v>84</v>
      </c>
      <c r="C3" s="4" t="s">
        <v>91</v>
      </c>
      <c r="D3" s="4" t="s">
        <v>92</v>
      </c>
      <c r="E3" s="5">
        <v>46041</v>
      </c>
      <c r="F3" s="5">
        <v>46073</v>
      </c>
      <c r="G3" s="5">
        <v>46041</v>
      </c>
      <c r="H3" s="5">
        <v>46077</v>
      </c>
      <c r="I3" s="4">
        <v>33</v>
      </c>
      <c r="J3" s="4" t="s">
        <v>83</v>
      </c>
      <c r="K3" s="6">
        <v>1</v>
      </c>
      <c r="L3" s="6">
        <v>1</v>
      </c>
      <c r="M3" s="6" t="s">
        <v>87</v>
      </c>
      <c r="N3" s="6">
        <f t="shared" si="0"/>
        <v>0</v>
      </c>
      <c r="O3" s="4" t="s">
        <v>93</v>
      </c>
      <c r="P3" s="4" t="s">
        <v>94</v>
      </c>
    </row>
    <row r="4" spans="1:16" ht="20" customHeight="1">
      <c r="A4" s="4" t="s">
        <v>95</v>
      </c>
      <c r="B4" s="4" t="s">
        <v>84</v>
      </c>
      <c r="C4" s="4" t="s">
        <v>96</v>
      </c>
      <c r="D4" s="4" t="s">
        <v>92</v>
      </c>
      <c r="E4" s="5">
        <v>46076</v>
      </c>
      <c r="F4" s="5">
        <v>46108</v>
      </c>
      <c r="G4" s="5">
        <v>46078</v>
      </c>
      <c r="H4" s="5">
        <v>46114</v>
      </c>
      <c r="I4" s="4">
        <v>33</v>
      </c>
      <c r="J4" s="4" t="s">
        <v>90</v>
      </c>
      <c r="K4" s="6">
        <v>1</v>
      </c>
      <c r="L4" s="6">
        <v>1</v>
      </c>
      <c r="M4" s="6" t="s">
        <v>87</v>
      </c>
      <c r="N4" s="6">
        <f t="shared" si="0"/>
        <v>0</v>
      </c>
      <c r="O4" s="4" t="s">
        <v>93</v>
      </c>
      <c r="P4" s="4" t="s">
        <v>97</v>
      </c>
    </row>
    <row r="5" spans="1:16" ht="20" customHeight="1">
      <c r="A5" s="4" t="s">
        <v>98</v>
      </c>
      <c r="B5" s="4" t="s">
        <v>84</v>
      </c>
      <c r="C5" s="4" t="s">
        <v>99</v>
      </c>
      <c r="D5" s="4" t="s">
        <v>100</v>
      </c>
      <c r="E5" s="5">
        <v>46083</v>
      </c>
      <c r="F5" s="5">
        <v>46122</v>
      </c>
      <c r="G5" s="5">
        <v>46083</v>
      </c>
      <c r="H5" s="5">
        <v>46126</v>
      </c>
      <c r="I5" s="4">
        <v>40</v>
      </c>
      <c r="J5" s="4" t="s">
        <v>95</v>
      </c>
      <c r="K5" s="6">
        <v>1</v>
      </c>
      <c r="L5" s="6">
        <v>1</v>
      </c>
      <c r="M5" s="6" t="s">
        <v>87</v>
      </c>
      <c r="N5" s="6">
        <f t="shared" si="0"/>
        <v>0</v>
      </c>
      <c r="O5" s="4" t="s">
        <v>93</v>
      </c>
      <c r="P5" s="4" t="s">
        <v>101</v>
      </c>
    </row>
    <row r="6" spans="1:16" ht="20" customHeight="1">
      <c r="A6" s="4" t="s">
        <v>102</v>
      </c>
      <c r="B6" s="4" t="s">
        <v>47</v>
      </c>
      <c r="C6" s="4" t="s">
        <v>103</v>
      </c>
      <c r="D6" s="4" t="s">
        <v>86</v>
      </c>
      <c r="E6" s="5">
        <v>46069</v>
      </c>
      <c r="F6" s="5">
        <v>46115</v>
      </c>
      <c r="G6" s="5">
        <v>46069</v>
      </c>
      <c r="H6" s="5">
        <v>46119</v>
      </c>
      <c r="I6" s="4">
        <v>47</v>
      </c>
      <c r="J6" s="4" t="s">
        <v>90</v>
      </c>
      <c r="K6" s="6">
        <v>1</v>
      </c>
      <c r="L6" s="6">
        <v>1</v>
      </c>
      <c r="M6" s="6" t="s">
        <v>87</v>
      </c>
      <c r="N6" s="6">
        <f t="shared" si="0"/>
        <v>0</v>
      </c>
      <c r="O6" s="4" t="s">
        <v>88</v>
      </c>
      <c r="P6" s="4" t="s">
        <v>104</v>
      </c>
    </row>
    <row r="7" spans="1:16" ht="20" customHeight="1">
      <c r="A7" s="4" t="s">
        <v>105</v>
      </c>
      <c r="B7" s="4" t="s">
        <v>106</v>
      </c>
      <c r="C7" s="4" t="s">
        <v>107</v>
      </c>
      <c r="D7" s="4" t="s">
        <v>108</v>
      </c>
      <c r="E7" s="5">
        <v>46125</v>
      </c>
      <c r="F7" s="5">
        <v>46136</v>
      </c>
      <c r="G7" s="5">
        <v>46127</v>
      </c>
      <c r="H7" s="5">
        <v>46136</v>
      </c>
      <c r="I7" s="4">
        <v>12</v>
      </c>
      <c r="J7" s="4" t="s">
        <v>109</v>
      </c>
      <c r="K7" s="6">
        <v>1</v>
      </c>
      <c r="L7" s="6">
        <v>1</v>
      </c>
      <c r="M7" s="6" t="s">
        <v>87</v>
      </c>
      <c r="N7" s="6">
        <f t="shared" si="0"/>
        <v>0</v>
      </c>
      <c r="O7" s="4" t="s">
        <v>93</v>
      </c>
      <c r="P7" s="4" t="s">
        <v>110</v>
      </c>
    </row>
    <row r="8" spans="1:16" ht="20" customHeight="1">
      <c r="A8" s="4" t="s">
        <v>111</v>
      </c>
      <c r="B8" s="4" t="s">
        <v>112</v>
      </c>
      <c r="C8" s="4" t="s">
        <v>113</v>
      </c>
      <c r="D8" s="4" t="s">
        <v>114</v>
      </c>
      <c r="E8" s="5">
        <v>46132</v>
      </c>
      <c r="F8" s="5">
        <v>46150</v>
      </c>
      <c r="G8" s="5">
        <v>46134</v>
      </c>
      <c r="H8" s="5">
        <v>46153</v>
      </c>
      <c r="I8" s="4">
        <v>19</v>
      </c>
      <c r="J8" s="4" t="s">
        <v>105</v>
      </c>
      <c r="K8" s="6">
        <v>1</v>
      </c>
      <c r="L8" s="6">
        <v>1</v>
      </c>
      <c r="M8" s="6" t="s">
        <v>87</v>
      </c>
      <c r="N8" s="6">
        <f t="shared" si="0"/>
        <v>0</v>
      </c>
      <c r="O8" s="4" t="s">
        <v>93</v>
      </c>
      <c r="P8" s="4" t="s">
        <v>115</v>
      </c>
    </row>
    <row r="9" spans="1:16" ht="20" customHeight="1">
      <c r="A9" s="4" t="s">
        <v>116</v>
      </c>
      <c r="B9" s="4" t="s">
        <v>112</v>
      </c>
      <c r="C9" s="4" t="s">
        <v>117</v>
      </c>
      <c r="D9" s="4" t="s">
        <v>114</v>
      </c>
      <c r="E9" s="5">
        <v>46146</v>
      </c>
      <c r="F9" s="5">
        <v>46185</v>
      </c>
      <c r="G9" s="5">
        <v>46148</v>
      </c>
      <c r="H9" s="5">
        <v>46191</v>
      </c>
      <c r="I9" s="4">
        <v>40</v>
      </c>
      <c r="J9" s="4" t="s">
        <v>111</v>
      </c>
      <c r="K9" s="6">
        <v>1</v>
      </c>
      <c r="L9" s="6">
        <v>1</v>
      </c>
      <c r="M9" s="6" t="s">
        <v>87</v>
      </c>
      <c r="N9" s="6">
        <f t="shared" si="0"/>
        <v>0</v>
      </c>
      <c r="O9" s="4" t="s">
        <v>93</v>
      </c>
      <c r="P9" s="4" t="s">
        <v>118</v>
      </c>
    </row>
    <row r="10" spans="1:16" ht="20" customHeight="1">
      <c r="A10" s="4" t="s">
        <v>119</v>
      </c>
      <c r="B10" s="4" t="s">
        <v>120</v>
      </c>
      <c r="C10" s="4" t="s">
        <v>121</v>
      </c>
      <c r="D10" s="4" t="s">
        <v>122</v>
      </c>
      <c r="E10" s="5">
        <v>46167</v>
      </c>
      <c r="F10" s="5">
        <v>46192</v>
      </c>
      <c r="G10" s="5">
        <v>46170</v>
      </c>
      <c r="H10" s="5">
        <v>46197</v>
      </c>
      <c r="I10" s="4">
        <v>26</v>
      </c>
      <c r="J10" s="4" t="s">
        <v>116</v>
      </c>
      <c r="K10" s="6">
        <v>1</v>
      </c>
      <c r="L10" s="6">
        <v>1</v>
      </c>
      <c r="M10" s="6" t="s">
        <v>87</v>
      </c>
      <c r="N10" s="6">
        <f t="shared" si="0"/>
        <v>0</v>
      </c>
      <c r="O10" s="4" t="s">
        <v>93</v>
      </c>
      <c r="P10" s="4" t="s">
        <v>123</v>
      </c>
    </row>
    <row r="11" spans="1:16" ht="20" customHeight="1">
      <c r="A11" s="4" t="s">
        <v>124</v>
      </c>
      <c r="B11" s="4" t="s">
        <v>120</v>
      </c>
      <c r="C11" s="4" t="s">
        <v>125</v>
      </c>
      <c r="D11" s="4" t="s">
        <v>122</v>
      </c>
      <c r="E11" s="5">
        <v>46188</v>
      </c>
      <c r="F11" s="5">
        <v>46213</v>
      </c>
      <c r="G11" s="5">
        <v>46193</v>
      </c>
      <c r="H11" s="5">
        <v>46218</v>
      </c>
      <c r="I11" s="4">
        <v>26</v>
      </c>
      <c r="J11" s="4" t="s">
        <v>119</v>
      </c>
      <c r="K11" s="6">
        <v>1</v>
      </c>
      <c r="L11" s="6">
        <v>1</v>
      </c>
      <c r="M11" s="6" t="s">
        <v>87</v>
      </c>
      <c r="N11" s="6">
        <f t="shared" si="0"/>
        <v>0</v>
      </c>
      <c r="O11" s="4" t="s">
        <v>93</v>
      </c>
      <c r="P11" s="4" t="s">
        <v>126</v>
      </c>
    </row>
    <row r="12" spans="1:16" ht="20" customHeight="1">
      <c r="A12" s="4" t="s">
        <v>127</v>
      </c>
      <c r="B12" s="4" t="s">
        <v>128</v>
      </c>
      <c r="C12" s="4" t="s">
        <v>129</v>
      </c>
      <c r="D12" s="4" t="s">
        <v>130</v>
      </c>
      <c r="E12" s="5">
        <v>46132</v>
      </c>
      <c r="F12" s="5">
        <v>46206</v>
      </c>
      <c r="G12" s="5">
        <v>46134</v>
      </c>
      <c r="H12" s="5">
        <v>46213</v>
      </c>
      <c r="I12" s="4">
        <v>75</v>
      </c>
      <c r="J12" s="4" t="s">
        <v>102</v>
      </c>
      <c r="K12" s="6">
        <v>1</v>
      </c>
      <c r="L12" s="6">
        <v>1</v>
      </c>
      <c r="M12" s="6" t="s">
        <v>87</v>
      </c>
      <c r="N12" s="6">
        <f t="shared" si="0"/>
        <v>0</v>
      </c>
      <c r="O12" s="4" t="s">
        <v>93</v>
      </c>
      <c r="P12" s="4" t="s">
        <v>131</v>
      </c>
    </row>
    <row r="13" spans="1:16" ht="20" customHeight="1">
      <c r="A13" s="4" t="s">
        <v>132</v>
      </c>
      <c r="B13" s="4" t="s">
        <v>128</v>
      </c>
      <c r="C13" s="4" t="s">
        <v>133</v>
      </c>
      <c r="D13" s="4" t="s">
        <v>130</v>
      </c>
      <c r="E13" s="5">
        <v>46216</v>
      </c>
      <c r="F13" s="5">
        <v>46255</v>
      </c>
      <c r="G13" s="5">
        <v>46219</v>
      </c>
      <c r="H13" s="5">
        <v>46262</v>
      </c>
      <c r="I13" s="4">
        <v>40</v>
      </c>
      <c r="J13" s="4" t="s">
        <v>134</v>
      </c>
      <c r="K13" s="6">
        <v>1</v>
      </c>
      <c r="L13" s="6">
        <v>1</v>
      </c>
      <c r="M13" s="6" t="s">
        <v>87</v>
      </c>
      <c r="N13" s="6">
        <f t="shared" si="0"/>
        <v>0</v>
      </c>
      <c r="O13" s="4" t="s">
        <v>93</v>
      </c>
      <c r="P13" s="4" t="s">
        <v>135</v>
      </c>
    </row>
    <row r="14" spans="1:16" ht="20" customHeight="1">
      <c r="A14" s="4" t="s">
        <v>136</v>
      </c>
      <c r="B14" s="4" t="s">
        <v>128</v>
      </c>
      <c r="C14" s="4" t="s">
        <v>137</v>
      </c>
      <c r="D14" s="4" t="s">
        <v>138</v>
      </c>
      <c r="E14" s="5">
        <v>46237</v>
      </c>
      <c r="F14" s="5">
        <v>46269</v>
      </c>
      <c r="G14" s="5">
        <v>46244</v>
      </c>
      <c r="H14" s="5"/>
      <c r="I14" s="4">
        <v>33</v>
      </c>
      <c r="J14" s="4" t="s">
        <v>132</v>
      </c>
      <c r="K14" s="6">
        <v>1</v>
      </c>
      <c r="L14" s="6">
        <v>0.88</v>
      </c>
      <c r="M14" s="6" t="s">
        <v>139</v>
      </c>
      <c r="N14" s="6">
        <f t="shared" si="0"/>
        <v>-0.12</v>
      </c>
      <c r="O14" s="4" t="s">
        <v>93</v>
      </c>
      <c r="P14" s="4" t="s">
        <v>140</v>
      </c>
    </row>
    <row r="15" spans="1:16" ht="20" customHeight="1">
      <c r="A15" s="4" t="s">
        <v>141</v>
      </c>
      <c r="B15" s="4" t="s">
        <v>142</v>
      </c>
      <c r="C15" s="4" t="s">
        <v>143</v>
      </c>
      <c r="D15" s="4" t="s">
        <v>144</v>
      </c>
      <c r="E15" s="5">
        <v>46251</v>
      </c>
      <c r="F15" s="5">
        <v>46290</v>
      </c>
      <c r="G15" s="5">
        <v>46258</v>
      </c>
      <c r="H15" s="5"/>
      <c r="I15" s="4">
        <v>40</v>
      </c>
      <c r="J15" s="4" t="s">
        <v>132</v>
      </c>
      <c r="K15" s="6">
        <v>0.75</v>
      </c>
      <c r="L15" s="6">
        <v>0.62</v>
      </c>
      <c r="M15" s="6" t="s">
        <v>139</v>
      </c>
      <c r="N15" s="6">
        <f t="shared" si="0"/>
        <v>-0.13</v>
      </c>
      <c r="O15" s="4" t="s">
        <v>93</v>
      </c>
      <c r="P15" s="4" t="s">
        <v>145</v>
      </c>
    </row>
    <row r="16" spans="1:16" ht="20" customHeight="1">
      <c r="A16" s="4" t="s">
        <v>146</v>
      </c>
      <c r="B16" s="4" t="s">
        <v>142</v>
      </c>
      <c r="C16" s="4" t="s">
        <v>147</v>
      </c>
      <c r="D16" s="4" t="s">
        <v>148</v>
      </c>
      <c r="E16" s="5">
        <v>46265</v>
      </c>
      <c r="F16" s="5">
        <v>46290</v>
      </c>
      <c r="G16" s="5">
        <v>46268</v>
      </c>
      <c r="H16" s="5"/>
      <c r="I16" s="4">
        <v>26</v>
      </c>
      <c r="J16" s="4" t="s">
        <v>136</v>
      </c>
      <c r="K16" s="6">
        <v>0.45</v>
      </c>
      <c r="L16" s="6">
        <v>0.38</v>
      </c>
      <c r="M16" s="6" t="s">
        <v>139</v>
      </c>
      <c r="N16" s="6">
        <f t="shared" si="0"/>
        <v>-7.0000000000000007E-2</v>
      </c>
      <c r="O16" s="4" t="s">
        <v>93</v>
      </c>
      <c r="P16" s="4" t="s">
        <v>149</v>
      </c>
    </row>
    <row r="17" spans="1:16" ht="20" customHeight="1">
      <c r="A17" s="4" t="s">
        <v>150</v>
      </c>
      <c r="B17" s="4" t="s">
        <v>142</v>
      </c>
      <c r="C17" s="4" t="s">
        <v>151</v>
      </c>
      <c r="D17" s="4" t="s">
        <v>152</v>
      </c>
      <c r="E17" s="5">
        <v>46272</v>
      </c>
      <c r="F17" s="5">
        <v>46311</v>
      </c>
      <c r="G17" s="5">
        <v>46274</v>
      </c>
      <c r="H17" s="5"/>
      <c r="I17" s="4">
        <v>40</v>
      </c>
      <c r="J17" s="4" t="s">
        <v>141</v>
      </c>
      <c r="K17" s="6">
        <v>0.15</v>
      </c>
      <c r="L17" s="6">
        <v>0.08</v>
      </c>
      <c r="M17" s="6" t="s">
        <v>139</v>
      </c>
      <c r="N17" s="6">
        <f t="shared" si="0"/>
        <v>-6.9999999999999993E-2</v>
      </c>
      <c r="O17" s="4" t="s">
        <v>88</v>
      </c>
      <c r="P17" s="4" t="s">
        <v>153</v>
      </c>
    </row>
    <row r="18" spans="1:16" ht="20" customHeight="1">
      <c r="A18" s="4" t="s">
        <v>154</v>
      </c>
      <c r="B18" s="4" t="s">
        <v>67</v>
      </c>
      <c r="C18" s="4" t="s">
        <v>155</v>
      </c>
      <c r="D18" s="4" t="s">
        <v>156</v>
      </c>
      <c r="E18" s="5">
        <v>46160</v>
      </c>
      <c r="F18" s="5">
        <v>46220</v>
      </c>
      <c r="G18" s="5">
        <v>46162</v>
      </c>
      <c r="H18" s="5">
        <v>46224</v>
      </c>
      <c r="I18" s="4">
        <v>61</v>
      </c>
      <c r="J18" s="4" t="s">
        <v>116</v>
      </c>
      <c r="K18" s="6">
        <v>1</v>
      </c>
      <c r="L18" s="6">
        <v>1</v>
      </c>
      <c r="M18" s="6" t="s">
        <v>87</v>
      </c>
      <c r="N18" s="6">
        <f t="shared" si="0"/>
        <v>0</v>
      </c>
      <c r="O18" s="4" t="s">
        <v>88</v>
      </c>
      <c r="P18" s="4" t="s">
        <v>157</v>
      </c>
    </row>
    <row r="19" spans="1:16" ht="20" customHeight="1">
      <c r="A19" s="4" t="s">
        <v>158</v>
      </c>
      <c r="B19" s="4" t="s">
        <v>67</v>
      </c>
      <c r="C19" s="4" t="s">
        <v>159</v>
      </c>
      <c r="D19" s="4" t="s">
        <v>156</v>
      </c>
      <c r="E19" s="5">
        <v>46258</v>
      </c>
      <c r="F19" s="5">
        <v>46297</v>
      </c>
      <c r="G19" s="5">
        <v>46265</v>
      </c>
      <c r="H19" s="5"/>
      <c r="I19" s="4">
        <v>40</v>
      </c>
      <c r="J19" s="4" t="s">
        <v>136</v>
      </c>
      <c r="K19" s="6">
        <v>0.5</v>
      </c>
      <c r="L19" s="6">
        <v>0.35</v>
      </c>
      <c r="M19" s="6" t="s">
        <v>139</v>
      </c>
      <c r="N19" s="6">
        <f t="shared" si="0"/>
        <v>-0.15000000000000002</v>
      </c>
      <c r="O19" s="4" t="s">
        <v>93</v>
      </c>
      <c r="P19" s="4" t="s">
        <v>160</v>
      </c>
    </row>
    <row r="20" spans="1:16" ht="20" customHeight="1">
      <c r="A20" s="4" t="s">
        <v>161</v>
      </c>
      <c r="B20" s="4" t="s">
        <v>67</v>
      </c>
      <c r="C20" s="4" t="s">
        <v>162</v>
      </c>
      <c r="D20" s="4" t="s">
        <v>156</v>
      </c>
      <c r="E20" s="5">
        <v>46279</v>
      </c>
      <c r="F20" s="5">
        <v>46318</v>
      </c>
      <c r="G20" s="5"/>
      <c r="H20" s="5"/>
      <c r="I20" s="4">
        <v>40</v>
      </c>
      <c r="J20" s="4" t="s">
        <v>158</v>
      </c>
      <c r="K20" s="6">
        <v>0</v>
      </c>
      <c r="L20" s="6">
        <v>0</v>
      </c>
      <c r="M20" s="6" t="s">
        <v>163</v>
      </c>
      <c r="N20" s="6">
        <f t="shared" si="0"/>
        <v>0</v>
      </c>
      <c r="O20" s="4" t="s">
        <v>93</v>
      </c>
      <c r="P20" s="4" t="s">
        <v>164</v>
      </c>
    </row>
    <row r="21" spans="1:16" ht="20" customHeight="1">
      <c r="A21" s="4" t="s">
        <v>165</v>
      </c>
      <c r="B21" s="4" t="s">
        <v>67</v>
      </c>
      <c r="C21" s="4" t="s">
        <v>166</v>
      </c>
      <c r="D21" s="4" t="s">
        <v>167</v>
      </c>
      <c r="E21" s="5">
        <v>46146</v>
      </c>
      <c r="F21" s="5">
        <v>46304</v>
      </c>
      <c r="G21" s="5">
        <v>46146</v>
      </c>
      <c r="H21" s="5"/>
      <c r="I21" s="4">
        <v>159</v>
      </c>
      <c r="J21" s="4" t="s">
        <v>102</v>
      </c>
      <c r="K21" s="6">
        <v>0.8</v>
      </c>
      <c r="L21" s="6">
        <v>0.76</v>
      </c>
      <c r="M21" s="6" t="s">
        <v>139</v>
      </c>
      <c r="N21" s="6">
        <f t="shared" si="0"/>
        <v>-4.0000000000000036E-2</v>
      </c>
      <c r="O21" s="4" t="s">
        <v>93</v>
      </c>
      <c r="P21" s="4" t="s">
        <v>168</v>
      </c>
    </row>
    <row r="22" spans="1:16" ht="20" customHeight="1">
      <c r="A22" s="4" t="s">
        <v>169</v>
      </c>
      <c r="B22" s="4" t="s">
        <v>67</v>
      </c>
      <c r="C22" s="4" t="s">
        <v>170</v>
      </c>
      <c r="D22" s="4" t="s">
        <v>171</v>
      </c>
      <c r="E22" s="5">
        <v>46153</v>
      </c>
      <c r="F22" s="5">
        <v>46283</v>
      </c>
      <c r="G22" s="5">
        <v>46153</v>
      </c>
      <c r="H22" s="5"/>
      <c r="I22" s="4">
        <v>131</v>
      </c>
      <c r="J22" s="4" t="s">
        <v>102</v>
      </c>
      <c r="K22" s="6">
        <v>0.92</v>
      </c>
      <c r="L22" s="6">
        <v>0.88</v>
      </c>
      <c r="M22" s="6" t="s">
        <v>139</v>
      </c>
      <c r="N22" s="6">
        <f t="shared" si="0"/>
        <v>-4.0000000000000036E-2</v>
      </c>
      <c r="O22" s="4" t="s">
        <v>93</v>
      </c>
      <c r="P22" s="4" t="s">
        <v>172</v>
      </c>
    </row>
    <row r="23" spans="1:16" ht="20" customHeight="1">
      <c r="A23" s="4" t="s">
        <v>173</v>
      </c>
      <c r="B23" s="4" t="s">
        <v>174</v>
      </c>
      <c r="C23" s="4" t="s">
        <v>175</v>
      </c>
      <c r="D23" s="4" t="s">
        <v>144</v>
      </c>
      <c r="E23" s="5">
        <v>46293</v>
      </c>
      <c r="F23" s="5">
        <v>46332</v>
      </c>
      <c r="G23" s="5"/>
      <c r="H23" s="5"/>
      <c r="I23" s="4">
        <v>40</v>
      </c>
      <c r="J23" s="4" t="s">
        <v>176</v>
      </c>
      <c r="K23" s="6">
        <v>0</v>
      </c>
      <c r="L23" s="6">
        <v>0</v>
      </c>
      <c r="M23" s="6" t="s">
        <v>163</v>
      </c>
      <c r="N23" s="6">
        <f t="shared" si="0"/>
        <v>0</v>
      </c>
      <c r="O23" s="4" t="s">
        <v>93</v>
      </c>
      <c r="P23" s="4" t="s">
        <v>177</v>
      </c>
    </row>
    <row r="24" spans="1:16" ht="20" customHeight="1">
      <c r="A24" s="4" t="s">
        <v>178</v>
      </c>
      <c r="B24" s="4" t="s">
        <v>174</v>
      </c>
      <c r="C24" s="4" t="s">
        <v>179</v>
      </c>
      <c r="D24" s="4" t="s">
        <v>180</v>
      </c>
      <c r="E24" s="5">
        <v>46314</v>
      </c>
      <c r="F24" s="5">
        <v>46360</v>
      </c>
      <c r="G24" s="5"/>
      <c r="H24" s="5"/>
      <c r="I24" s="4">
        <v>47</v>
      </c>
      <c r="J24" s="4" t="s">
        <v>173</v>
      </c>
      <c r="K24" s="6">
        <v>0</v>
      </c>
      <c r="L24" s="6">
        <v>0</v>
      </c>
      <c r="M24" s="6" t="s">
        <v>163</v>
      </c>
      <c r="N24" s="6">
        <f t="shared" si="0"/>
        <v>0</v>
      </c>
      <c r="O24" s="4" t="s">
        <v>93</v>
      </c>
      <c r="P24" s="4"/>
    </row>
    <row r="25" spans="1:16" ht="20" customHeight="1">
      <c r="A25" s="4" t="s">
        <v>181</v>
      </c>
      <c r="B25" s="4" t="s">
        <v>174</v>
      </c>
      <c r="C25" s="4" t="s">
        <v>182</v>
      </c>
      <c r="D25" s="4" t="s">
        <v>183</v>
      </c>
      <c r="E25" s="5">
        <v>46349</v>
      </c>
      <c r="F25" s="5">
        <v>46402</v>
      </c>
      <c r="G25" s="5"/>
      <c r="H25" s="5"/>
      <c r="I25" s="4">
        <v>54</v>
      </c>
      <c r="J25" s="4" t="s">
        <v>178</v>
      </c>
      <c r="K25" s="6">
        <v>0</v>
      </c>
      <c r="L25" s="6">
        <v>0</v>
      </c>
      <c r="M25" s="6" t="s">
        <v>163</v>
      </c>
      <c r="N25" s="6">
        <f t="shared" si="0"/>
        <v>0</v>
      </c>
      <c r="O25" s="4" t="s">
        <v>88</v>
      </c>
      <c r="P25" s="4"/>
    </row>
    <row r="26" spans="1:16" ht="20" customHeight="1">
      <c r="A26" s="4" t="s">
        <v>184</v>
      </c>
      <c r="B26" s="4" t="s">
        <v>174</v>
      </c>
      <c r="C26" s="4" t="s">
        <v>185</v>
      </c>
      <c r="D26" s="4" t="s">
        <v>186</v>
      </c>
      <c r="E26" s="5">
        <v>46356</v>
      </c>
      <c r="F26" s="5">
        <v>46409</v>
      </c>
      <c r="G26" s="5"/>
      <c r="H26" s="5"/>
      <c r="I26" s="4">
        <v>54</v>
      </c>
      <c r="J26" s="4" t="s">
        <v>178</v>
      </c>
      <c r="K26" s="6">
        <v>0</v>
      </c>
      <c r="L26" s="6">
        <v>0</v>
      </c>
      <c r="M26" s="6" t="s">
        <v>163</v>
      </c>
      <c r="N26" s="6">
        <f t="shared" si="0"/>
        <v>0</v>
      </c>
      <c r="O26" s="4" t="s">
        <v>88</v>
      </c>
      <c r="P26" s="4"/>
    </row>
    <row r="27" spans="1:16" ht="20" customHeight="1">
      <c r="A27" s="4" t="s">
        <v>187</v>
      </c>
      <c r="B27" s="4" t="s">
        <v>174</v>
      </c>
      <c r="C27" s="4" t="s">
        <v>188</v>
      </c>
      <c r="D27" s="4" t="s">
        <v>189</v>
      </c>
      <c r="E27" s="5">
        <v>46363</v>
      </c>
      <c r="F27" s="5">
        <v>46416</v>
      </c>
      <c r="G27" s="5"/>
      <c r="H27" s="5"/>
      <c r="I27" s="4">
        <v>54</v>
      </c>
      <c r="J27" s="4" t="s">
        <v>178</v>
      </c>
      <c r="K27" s="6">
        <v>0</v>
      </c>
      <c r="L27" s="6">
        <v>0</v>
      </c>
      <c r="M27" s="6" t="s">
        <v>163</v>
      </c>
      <c r="N27" s="6">
        <f t="shared" si="0"/>
        <v>0</v>
      </c>
      <c r="O27" s="4" t="s">
        <v>88</v>
      </c>
      <c r="P27" s="4"/>
    </row>
    <row r="28" spans="1:16" ht="20" customHeight="1">
      <c r="A28" s="4" t="s">
        <v>190</v>
      </c>
      <c r="B28" s="4" t="s">
        <v>112</v>
      </c>
      <c r="C28" s="4" t="s">
        <v>191</v>
      </c>
      <c r="D28" s="4" t="s">
        <v>114</v>
      </c>
      <c r="E28" s="5">
        <v>46300</v>
      </c>
      <c r="F28" s="5">
        <v>46339</v>
      </c>
      <c r="G28" s="5"/>
      <c r="H28" s="5"/>
      <c r="I28" s="4">
        <v>40</v>
      </c>
      <c r="J28" s="4" t="s">
        <v>141</v>
      </c>
      <c r="K28" s="6">
        <v>0</v>
      </c>
      <c r="L28" s="6">
        <v>0</v>
      </c>
      <c r="M28" s="6" t="s">
        <v>163</v>
      </c>
      <c r="N28" s="6">
        <f t="shared" si="0"/>
        <v>0</v>
      </c>
      <c r="O28" s="4" t="s">
        <v>88</v>
      </c>
      <c r="P28" s="4"/>
    </row>
    <row r="29" spans="1:16" ht="20" customHeight="1">
      <c r="A29" s="4" t="s">
        <v>192</v>
      </c>
      <c r="B29" s="4" t="s">
        <v>112</v>
      </c>
      <c r="C29" s="4" t="s">
        <v>193</v>
      </c>
      <c r="D29" s="4" t="s">
        <v>194</v>
      </c>
      <c r="E29" s="5">
        <v>46391</v>
      </c>
      <c r="F29" s="5">
        <v>46423</v>
      </c>
      <c r="G29" s="5"/>
      <c r="H29" s="5"/>
      <c r="I29" s="4">
        <v>33</v>
      </c>
      <c r="J29" s="4" t="s">
        <v>190</v>
      </c>
      <c r="K29" s="6">
        <v>0</v>
      </c>
      <c r="L29" s="6">
        <v>0</v>
      </c>
      <c r="M29" s="6" t="s">
        <v>163</v>
      </c>
      <c r="N29" s="6">
        <f t="shared" si="0"/>
        <v>0</v>
      </c>
      <c r="O29" s="4" t="s">
        <v>88</v>
      </c>
      <c r="P29" s="4"/>
    </row>
    <row r="30" spans="1:16" ht="20" customHeight="1">
      <c r="A30" s="4" t="s">
        <v>195</v>
      </c>
      <c r="B30" s="4" t="s">
        <v>196</v>
      </c>
      <c r="C30" s="4" t="s">
        <v>197</v>
      </c>
      <c r="D30" s="4" t="s">
        <v>198</v>
      </c>
      <c r="E30" s="5">
        <v>46398</v>
      </c>
      <c r="F30" s="5">
        <v>46430</v>
      </c>
      <c r="G30" s="5"/>
      <c r="H30" s="5"/>
      <c r="I30" s="4">
        <v>33</v>
      </c>
      <c r="J30" s="4" t="s">
        <v>199</v>
      </c>
      <c r="K30" s="6">
        <v>0</v>
      </c>
      <c r="L30" s="6">
        <v>0</v>
      </c>
      <c r="M30" s="6" t="s">
        <v>163</v>
      </c>
      <c r="N30" s="6">
        <f t="shared" si="0"/>
        <v>0</v>
      </c>
      <c r="O30" s="4" t="s">
        <v>93</v>
      </c>
      <c r="P30" s="4"/>
    </row>
    <row r="31" spans="1:16" ht="20" customHeight="1">
      <c r="A31" s="4" t="s">
        <v>200</v>
      </c>
      <c r="B31" s="4" t="s">
        <v>196</v>
      </c>
      <c r="C31" s="4" t="s">
        <v>201</v>
      </c>
      <c r="D31" s="4" t="s">
        <v>202</v>
      </c>
      <c r="E31" s="5">
        <v>46419</v>
      </c>
      <c r="F31" s="5">
        <v>46444</v>
      </c>
      <c r="G31" s="5"/>
      <c r="H31" s="5"/>
      <c r="I31" s="4">
        <v>26</v>
      </c>
      <c r="J31" s="4" t="s">
        <v>195</v>
      </c>
      <c r="K31" s="6">
        <v>0</v>
      </c>
      <c r="L31" s="6">
        <v>0</v>
      </c>
      <c r="M31" s="6" t="s">
        <v>163</v>
      </c>
      <c r="N31" s="6">
        <f t="shared" si="0"/>
        <v>0</v>
      </c>
      <c r="O31" s="4" t="s">
        <v>93</v>
      </c>
      <c r="P31" s="4"/>
    </row>
    <row r="32" spans="1:16" ht="20" customHeight="1">
      <c r="A32" s="4" t="s">
        <v>203</v>
      </c>
      <c r="B32" s="4" t="s">
        <v>204</v>
      </c>
      <c r="C32" s="4" t="s">
        <v>205</v>
      </c>
      <c r="D32" s="4" t="s">
        <v>206</v>
      </c>
      <c r="E32" s="5">
        <v>46433</v>
      </c>
      <c r="F32" s="5">
        <v>46451</v>
      </c>
      <c r="G32" s="5"/>
      <c r="H32" s="5"/>
      <c r="I32" s="4">
        <v>19</v>
      </c>
      <c r="J32" s="4" t="s">
        <v>207</v>
      </c>
      <c r="K32" s="6">
        <v>0</v>
      </c>
      <c r="L32" s="6">
        <v>0</v>
      </c>
      <c r="M32" s="6" t="s">
        <v>163</v>
      </c>
      <c r="N32" s="6">
        <f t="shared" si="0"/>
        <v>0</v>
      </c>
      <c r="O32" s="4" t="s">
        <v>93</v>
      </c>
      <c r="P32" s="4"/>
    </row>
    <row r="33" spans="1:16" ht="20" customHeight="1">
      <c r="A33" s="4" t="s">
        <v>208</v>
      </c>
      <c r="B33" s="4" t="s">
        <v>204</v>
      </c>
      <c r="C33" s="4" t="s">
        <v>209</v>
      </c>
      <c r="D33" s="4" t="s">
        <v>210</v>
      </c>
      <c r="E33" s="5">
        <v>46440</v>
      </c>
      <c r="F33" s="5">
        <v>46458</v>
      </c>
      <c r="G33" s="5"/>
      <c r="H33" s="5"/>
      <c r="I33" s="4">
        <v>19</v>
      </c>
      <c r="J33" s="4" t="s">
        <v>195</v>
      </c>
      <c r="K33" s="6">
        <v>0</v>
      </c>
      <c r="L33" s="6">
        <v>0</v>
      </c>
      <c r="M33" s="6" t="s">
        <v>163</v>
      </c>
      <c r="N33" s="6">
        <f t="shared" si="0"/>
        <v>0</v>
      </c>
      <c r="O33" s="4" t="s">
        <v>88</v>
      </c>
      <c r="P33" s="4"/>
    </row>
    <row r="34" spans="1:16" ht="20" customHeight="1">
      <c r="A34" s="4" t="s">
        <v>211</v>
      </c>
      <c r="B34" s="4" t="s">
        <v>204</v>
      </c>
      <c r="C34" s="4" t="s">
        <v>212</v>
      </c>
      <c r="D34" s="4" t="s">
        <v>100</v>
      </c>
      <c r="E34" s="5">
        <v>46454</v>
      </c>
      <c r="F34" s="5">
        <v>46458</v>
      </c>
      <c r="G34" s="5"/>
      <c r="H34" s="5"/>
      <c r="I34" s="4">
        <v>5</v>
      </c>
      <c r="J34" s="4" t="s">
        <v>203</v>
      </c>
      <c r="K34" s="6">
        <v>0</v>
      </c>
      <c r="L34" s="6">
        <v>0</v>
      </c>
      <c r="M34" s="6" t="s">
        <v>163</v>
      </c>
      <c r="N34" s="6">
        <f t="shared" si="0"/>
        <v>0</v>
      </c>
      <c r="O34" s="4" t="s">
        <v>93</v>
      </c>
      <c r="P34" s="4"/>
    </row>
    <row r="35" spans="1:16" ht="20" customHeight="1">
      <c r="A35" s="4" t="s">
        <v>213</v>
      </c>
      <c r="B35" s="4" t="s">
        <v>204</v>
      </c>
      <c r="C35" s="4" t="s">
        <v>214</v>
      </c>
      <c r="D35" s="4" t="s">
        <v>86</v>
      </c>
      <c r="E35" s="5">
        <v>46461</v>
      </c>
      <c r="F35" s="5">
        <v>46465</v>
      </c>
      <c r="G35" s="5"/>
      <c r="H35" s="5"/>
      <c r="I35" s="4">
        <v>5</v>
      </c>
      <c r="J35" s="4" t="s">
        <v>215</v>
      </c>
      <c r="K35" s="6">
        <v>0</v>
      </c>
      <c r="L35" s="6">
        <v>0</v>
      </c>
      <c r="M35" s="6" t="s">
        <v>163</v>
      </c>
      <c r="N35" s="6">
        <f t="shared" si="0"/>
        <v>0</v>
      </c>
      <c r="O35" s="4" t="s">
        <v>93</v>
      </c>
      <c r="P35" s="4"/>
    </row>
  </sheetData>
  <conditionalFormatting sqref="N2:N35">
    <cfRule type="expression" dxfId="4" priority="1">
      <formula>N2&lt;0</formula>
    </cfRule>
  </conditionalFormatting>
  <dataValidations count="1">
    <dataValidation type="list" sqref="M2:M35" xr:uid="{00000000-0002-0000-0100-000000000000}">
      <formula1>"Not Started,In Progress,Complete,Delayed"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workbookViewId="0"/>
  </sheetViews>
  <sheetFormatPr baseColWidth="10" defaultColWidth="8.83203125" defaultRowHeight="15"/>
  <cols>
    <col min="1" max="1" width="8.1640625" customWidth="1"/>
    <col min="2" max="2" width="28" customWidth="1"/>
    <col min="3" max="3" width="12.33203125" customWidth="1"/>
    <col min="4" max="4" width="14.6640625" customWidth="1"/>
    <col min="5" max="5" width="12.1640625" customWidth="1"/>
    <col min="6" max="6" width="13.6640625" customWidth="1"/>
    <col min="7" max="7" width="15.1640625" customWidth="1"/>
    <col min="8" max="8" width="12.33203125" customWidth="1"/>
    <col min="9" max="9" width="18.1640625" customWidth="1"/>
    <col min="10" max="10" width="15" customWidth="1"/>
    <col min="11" max="11" width="10.6640625" customWidth="1"/>
    <col min="12" max="12" width="6.6640625" customWidth="1"/>
    <col min="13" max="13" width="8.33203125" customWidth="1"/>
    <col min="14" max="14" width="34" customWidth="1"/>
  </cols>
  <sheetData>
    <row r="1" spans="1:14" ht="20" customHeight="1">
      <c r="A1" s="3" t="s">
        <v>216</v>
      </c>
      <c r="B1" s="3" t="s">
        <v>217</v>
      </c>
      <c r="C1" s="3" t="s">
        <v>218</v>
      </c>
      <c r="D1" s="3" t="s">
        <v>16</v>
      </c>
      <c r="E1" s="3" t="s">
        <v>7</v>
      </c>
      <c r="F1" s="3" t="s">
        <v>219</v>
      </c>
      <c r="G1" s="3" t="s">
        <v>10</v>
      </c>
      <c r="H1" s="3" t="s">
        <v>220</v>
      </c>
      <c r="I1" s="3" t="s">
        <v>8</v>
      </c>
      <c r="J1" s="3" t="s">
        <v>221</v>
      </c>
      <c r="K1" s="3" t="s">
        <v>222</v>
      </c>
      <c r="L1" s="3" t="s">
        <v>223</v>
      </c>
      <c r="M1" s="3" t="s">
        <v>79</v>
      </c>
      <c r="N1" s="3" t="s">
        <v>82</v>
      </c>
    </row>
    <row r="2" spans="1:14" ht="20" customHeight="1">
      <c r="A2" s="4" t="s">
        <v>224</v>
      </c>
      <c r="B2" s="4" t="s">
        <v>225</v>
      </c>
      <c r="C2" s="7">
        <v>1350000</v>
      </c>
      <c r="D2" s="7">
        <v>125000</v>
      </c>
      <c r="E2" s="7">
        <f t="shared" ref="E2:E16" si="0">C2+D2</f>
        <v>1475000</v>
      </c>
      <c r="F2" s="7">
        <v>1445000</v>
      </c>
      <c r="G2" s="7">
        <v>970000</v>
      </c>
      <c r="H2" s="7">
        <v>510000</v>
      </c>
      <c r="I2" s="7">
        <f t="shared" ref="I2:I16" si="1">G2+H2</f>
        <v>1480000</v>
      </c>
      <c r="J2" s="7">
        <f t="shared" ref="J2:J16" si="2">E2-I2</f>
        <v>-5000</v>
      </c>
      <c r="K2" s="6">
        <f t="shared" ref="K2:K16" si="3">IF(E2=0,0,F2/E2)</f>
        <v>0.97966101694915253</v>
      </c>
      <c r="L2" s="6">
        <f t="shared" ref="L2:L16" si="4">IF(E2=0,0,G2/E2)</f>
        <v>0.65762711864406775</v>
      </c>
      <c r="M2" s="4" t="s">
        <v>226</v>
      </c>
      <c r="N2" s="4" t="s">
        <v>227</v>
      </c>
    </row>
    <row r="3" spans="1:14" ht="20" customHeight="1">
      <c r="A3" s="4" t="s">
        <v>228</v>
      </c>
      <c r="B3" s="4" t="s">
        <v>229</v>
      </c>
      <c r="C3" s="7">
        <v>1820000</v>
      </c>
      <c r="D3" s="7">
        <v>85000</v>
      </c>
      <c r="E3" s="7">
        <f t="shared" si="0"/>
        <v>1905000</v>
      </c>
      <c r="F3" s="7">
        <v>1880000</v>
      </c>
      <c r="G3" s="7">
        <v>1735000</v>
      </c>
      <c r="H3" s="7">
        <v>170000</v>
      </c>
      <c r="I3" s="7">
        <f t="shared" si="1"/>
        <v>1905000</v>
      </c>
      <c r="J3" s="7">
        <f t="shared" si="2"/>
        <v>0</v>
      </c>
      <c r="K3" s="6">
        <f t="shared" si="3"/>
        <v>0.98687664041994749</v>
      </c>
      <c r="L3" s="6">
        <f t="shared" si="4"/>
        <v>0.91076115485564302</v>
      </c>
      <c r="M3" s="4" t="s">
        <v>230</v>
      </c>
      <c r="N3" s="4" t="s">
        <v>231</v>
      </c>
    </row>
    <row r="4" spans="1:14" ht="20" customHeight="1">
      <c r="A4" s="4" t="s">
        <v>232</v>
      </c>
      <c r="B4" s="4" t="s">
        <v>233</v>
      </c>
      <c r="C4" s="7">
        <v>2050000</v>
      </c>
      <c r="D4" s="7">
        <v>45000</v>
      </c>
      <c r="E4" s="7">
        <f t="shared" si="0"/>
        <v>2095000</v>
      </c>
      <c r="F4" s="7">
        <v>2075000</v>
      </c>
      <c r="G4" s="7">
        <v>1960000</v>
      </c>
      <c r="H4" s="7">
        <v>155000</v>
      </c>
      <c r="I4" s="7">
        <f t="shared" si="1"/>
        <v>2115000</v>
      </c>
      <c r="J4" s="7">
        <f t="shared" si="2"/>
        <v>-20000</v>
      </c>
      <c r="K4" s="6">
        <f t="shared" si="3"/>
        <v>0.99045346062052508</v>
      </c>
      <c r="L4" s="6">
        <f t="shared" si="4"/>
        <v>0.93556085918854415</v>
      </c>
      <c r="M4" s="4" t="s">
        <v>230</v>
      </c>
      <c r="N4" s="4" t="s">
        <v>234</v>
      </c>
    </row>
    <row r="5" spans="1:14" ht="20" customHeight="1">
      <c r="A5" s="4" t="s">
        <v>235</v>
      </c>
      <c r="B5" s="4" t="s">
        <v>236</v>
      </c>
      <c r="C5" s="7">
        <v>2790000</v>
      </c>
      <c r="D5" s="7">
        <v>210000</v>
      </c>
      <c r="E5" s="7">
        <f t="shared" si="0"/>
        <v>3000000</v>
      </c>
      <c r="F5" s="7">
        <v>2945000</v>
      </c>
      <c r="G5" s="7">
        <v>2385000</v>
      </c>
      <c r="H5" s="7">
        <v>590000</v>
      </c>
      <c r="I5" s="7">
        <f t="shared" si="1"/>
        <v>2975000</v>
      </c>
      <c r="J5" s="7">
        <f t="shared" si="2"/>
        <v>25000</v>
      </c>
      <c r="K5" s="6">
        <f t="shared" si="3"/>
        <v>0.98166666666666669</v>
      </c>
      <c r="L5" s="6">
        <f t="shared" si="4"/>
        <v>0.79500000000000004</v>
      </c>
      <c r="M5" s="4" t="s">
        <v>226</v>
      </c>
      <c r="N5" s="4" t="s">
        <v>237</v>
      </c>
    </row>
    <row r="6" spans="1:14" ht="20" customHeight="1">
      <c r="A6" s="4" t="s">
        <v>238</v>
      </c>
      <c r="B6" s="4" t="s">
        <v>239</v>
      </c>
      <c r="C6" s="7">
        <v>840000</v>
      </c>
      <c r="D6" s="7">
        <v>0</v>
      </c>
      <c r="E6" s="7">
        <f t="shared" si="0"/>
        <v>840000</v>
      </c>
      <c r="F6" s="7">
        <v>810000</v>
      </c>
      <c r="G6" s="7">
        <v>180000</v>
      </c>
      <c r="H6" s="7">
        <v>640000</v>
      </c>
      <c r="I6" s="7">
        <f t="shared" si="1"/>
        <v>820000</v>
      </c>
      <c r="J6" s="7">
        <f t="shared" si="2"/>
        <v>20000</v>
      </c>
      <c r="K6" s="6">
        <f t="shared" si="3"/>
        <v>0.9642857142857143</v>
      </c>
      <c r="L6" s="6">
        <f t="shared" si="4"/>
        <v>0.21428571428571427</v>
      </c>
      <c r="M6" s="4" t="s">
        <v>230</v>
      </c>
      <c r="N6" s="4" t="s">
        <v>240</v>
      </c>
    </row>
    <row r="7" spans="1:14" ht="20" customHeight="1">
      <c r="A7" s="4" t="s">
        <v>241</v>
      </c>
      <c r="B7" s="4" t="s">
        <v>242</v>
      </c>
      <c r="C7" s="7">
        <v>1260000</v>
      </c>
      <c r="D7" s="7">
        <v>95000</v>
      </c>
      <c r="E7" s="7">
        <f t="shared" si="0"/>
        <v>1355000</v>
      </c>
      <c r="F7" s="7">
        <v>1325000</v>
      </c>
      <c r="G7" s="7">
        <v>230000</v>
      </c>
      <c r="H7" s="7">
        <v>1090000</v>
      </c>
      <c r="I7" s="7">
        <f t="shared" si="1"/>
        <v>1320000</v>
      </c>
      <c r="J7" s="7">
        <f t="shared" si="2"/>
        <v>35000</v>
      </c>
      <c r="K7" s="6">
        <f t="shared" si="3"/>
        <v>0.97785977859778594</v>
      </c>
      <c r="L7" s="6">
        <f t="shared" si="4"/>
        <v>0.16974169741697417</v>
      </c>
      <c r="M7" s="4" t="s">
        <v>226</v>
      </c>
      <c r="N7" s="4" t="s">
        <v>243</v>
      </c>
    </row>
    <row r="8" spans="1:14" ht="20" customHeight="1">
      <c r="A8" s="4" t="s">
        <v>244</v>
      </c>
      <c r="B8" s="4" t="s">
        <v>245</v>
      </c>
      <c r="C8" s="7">
        <v>2190000</v>
      </c>
      <c r="D8" s="7">
        <v>-65000</v>
      </c>
      <c r="E8" s="7">
        <f t="shared" si="0"/>
        <v>2125000</v>
      </c>
      <c r="F8" s="7">
        <v>2080000</v>
      </c>
      <c r="G8" s="7">
        <v>250000</v>
      </c>
      <c r="H8" s="7">
        <v>1810000</v>
      </c>
      <c r="I8" s="7">
        <f t="shared" si="1"/>
        <v>2060000</v>
      </c>
      <c r="J8" s="7">
        <f t="shared" si="2"/>
        <v>65000</v>
      </c>
      <c r="K8" s="6">
        <f t="shared" si="3"/>
        <v>0.97882352941176476</v>
      </c>
      <c r="L8" s="6">
        <f t="shared" si="4"/>
        <v>0.11764705882352941</v>
      </c>
      <c r="M8" s="4" t="s">
        <v>230</v>
      </c>
      <c r="N8" s="4" t="s">
        <v>246</v>
      </c>
    </row>
    <row r="9" spans="1:14" ht="20" customHeight="1">
      <c r="A9" s="4" t="s">
        <v>247</v>
      </c>
      <c r="B9" s="4" t="s">
        <v>248</v>
      </c>
      <c r="C9" s="7">
        <v>510000</v>
      </c>
      <c r="D9" s="7">
        <v>0</v>
      </c>
      <c r="E9" s="7">
        <f t="shared" si="0"/>
        <v>510000</v>
      </c>
      <c r="F9" s="7">
        <v>495000</v>
      </c>
      <c r="G9" s="7">
        <v>145000</v>
      </c>
      <c r="H9" s="7">
        <v>345000</v>
      </c>
      <c r="I9" s="7">
        <f t="shared" si="1"/>
        <v>490000</v>
      </c>
      <c r="J9" s="7">
        <f t="shared" si="2"/>
        <v>20000</v>
      </c>
      <c r="K9" s="6">
        <f t="shared" si="3"/>
        <v>0.97058823529411764</v>
      </c>
      <c r="L9" s="6">
        <f t="shared" si="4"/>
        <v>0.28431372549019607</v>
      </c>
      <c r="M9" s="4" t="s">
        <v>230</v>
      </c>
      <c r="N9" s="4"/>
    </row>
    <row r="10" spans="1:14" ht="20" customHeight="1">
      <c r="A10" s="4" t="s">
        <v>249</v>
      </c>
      <c r="B10" s="4" t="s">
        <v>250</v>
      </c>
      <c r="C10" s="7">
        <v>780000</v>
      </c>
      <c r="D10" s="7">
        <v>42000</v>
      </c>
      <c r="E10" s="7">
        <f t="shared" si="0"/>
        <v>822000</v>
      </c>
      <c r="F10" s="7">
        <v>805000</v>
      </c>
      <c r="G10" s="7">
        <v>315000</v>
      </c>
      <c r="H10" s="7">
        <v>500000</v>
      </c>
      <c r="I10" s="7">
        <f t="shared" si="1"/>
        <v>815000</v>
      </c>
      <c r="J10" s="7">
        <f t="shared" si="2"/>
        <v>7000</v>
      </c>
      <c r="K10" s="6">
        <f t="shared" si="3"/>
        <v>0.97931873479318732</v>
      </c>
      <c r="L10" s="6">
        <f t="shared" si="4"/>
        <v>0.38321167883211676</v>
      </c>
      <c r="M10" s="4" t="s">
        <v>230</v>
      </c>
      <c r="N10" s="4" t="s">
        <v>251</v>
      </c>
    </row>
    <row r="11" spans="1:14" ht="20" customHeight="1">
      <c r="A11" s="4" t="s">
        <v>252</v>
      </c>
      <c r="B11" s="4" t="s">
        <v>253</v>
      </c>
      <c r="C11" s="7">
        <v>1810000</v>
      </c>
      <c r="D11" s="7">
        <v>120000</v>
      </c>
      <c r="E11" s="7">
        <f t="shared" si="0"/>
        <v>1930000</v>
      </c>
      <c r="F11" s="7">
        <v>1885000</v>
      </c>
      <c r="G11" s="7">
        <v>525000</v>
      </c>
      <c r="H11" s="7">
        <v>1410000</v>
      </c>
      <c r="I11" s="7">
        <f t="shared" si="1"/>
        <v>1935000</v>
      </c>
      <c r="J11" s="7">
        <f t="shared" si="2"/>
        <v>-5000</v>
      </c>
      <c r="K11" s="6">
        <f t="shared" si="3"/>
        <v>0.97668393782383423</v>
      </c>
      <c r="L11" s="6">
        <f t="shared" si="4"/>
        <v>0.27202072538860106</v>
      </c>
      <c r="M11" s="4" t="s">
        <v>226</v>
      </c>
      <c r="N11" s="4" t="s">
        <v>254</v>
      </c>
    </row>
    <row r="12" spans="1:14" ht="20" customHeight="1">
      <c r="A12" s="4" t="s">
        <v>255</v>
      </c>
      <c r="B12" s="4" t="s">
        <v>256</v>
      </c>
      <c r="C12" s="7">
        <v>2030000</v>
      </c>
      <c r="D12" s="7">
        <v>165000</v>
      </c>
      <c r="E12" s="7">
        <f t="shared" si="0"/>
        <v>2195000</v>
      </c>
      <c r="F12" s="7">
        <v>2135000</v>
      </c>
      <c r="G12" s="7">
        <v>635000</v>
      </c>
      <c r="H12" s="7">
        <v>1545000</v>
      </c>
      <c r="I12" s="7">
        <f t="shared" si="1"/>
        <v>2180000</v>
      </c>
      <c r="J12" s="7">
        <f t="shared" si="2"/>
        <v>15000</v>
      </c>
      <c r="K12" s="6">
        <f t="shared" si="3"/>
        <v>0.97266514806378135</v>
      </c>
      <c r="L12" s="6">
        <f t="shared" si="4"/>
        <v>0.28929384965831434</v>
      </c>
      <c r="M12" s="4" t="s">
        <v>226</v>
      </c>
      <c r="N12" s="4" t="s">
        <v>257</v>
      </c>
    </row>
    <row r="13" spans="1:14" ht="20" customHeight="1">
      <c r="A13" s="4" t="s">
        <v>258</v>
      </c>
      <c r="B13" s="4" t="s">
        <v>259</v>
      </c>
      <c r="C13" s="7">
        <v>760000</v>
      </c>
      <c r="D13" s="7">
        <v>0</v>
      </c>
      <c r="E13" s="7">
        <f t="shared" si="0"/>
        <v>760000</v>
      </c>
      <c r="F13" s="7">
        <v>720000</v>
      </c>
      <c r="G13" s="7">
        <v>85000</v>
      </c>
      <c r="H13" s="7">
        <v>615000</v>
      </c>
      <c r="I13" s="7">
        <f t="shared" si="1"/>
        <v>700000</v>
      </c>
      <c r="J13" s="7">
        <f t="shared" si="2"/>
        <v>60000</v>
      </c>
      <c r="K13" s="6">
        <f t="shared" si="3"/>
        <v>0.94736842105263153</v>
      </c>
      <c r="L13" s="6">
        <f t="shared" si="4"/>
        <v>0.1118421052631579</v>
      </c>
      <c r="M13" s="4" t="s">
        <v>230</v>
      </c>
      <c r="N13" s="4"/>
    </row>
    <row r="14" spans="1:14" ht="20" customHeight="1">
      <c r="A14" s="4" t="s">
        <v>260</v>
      </c>
      <c r="B14" s="4" t="s">
        <v>261</v>
      </c>
      <c r="C14" s="7">
        <v>790000</v>
      </c>
      <c r="D14" s="7">
        <v>55000</v>
      </c>
      <c r="E14" s="7">
        <f t="shared" si="0"/>
        <v>845000</v>
      </c>
      <c r="F14" s="7">
        <v>835000</v>
      </c>
      <c r="G14" s="7">
        <v>690000</v>
      </c>
      <c r="H14" s="7">
        <v>145000</v>
      </c>
      <c r="I14" s="7">
        <f t="shared" si="1"/>
        <v>835000</v>
      </c>
      <c r="J14" s="7">
        <f t="shared" si="2"/>
        <v>10000</v>
      </c>
      <c r="K14" s="6">
        <f t="shared" si="3"/>
        <v>0.98816568047337283</v>
      </c>
      <c r="L14" s="6">
        <f t="shared" si="4"/>
        <v>0.81656804733727806</v>
      </c>
      <c r="M14" s="4" t="s">
        <v>230</v>
      </c>
      <c r="N14" s="4" t="s">
        <v>262</v>
      </c>
    </row>
    <row r="15" spans="1:14" ht="20" customHeight="1">
      <c r="A15" s="4" t="s">
        <v>263</v>
      </c>
      <c r="B15" s="4" t="s">
        <v>264</v>
      </c>
      <c r="C15" s="7">
        <v>900000</v>
      </c>
      <c r="D15" s="7">
        <v>0</v>
      </c>
      <c r="E15" s="7">
        <f t="shared" si="0"/>
        <v>900000</v>
      </c>
      <c r="F15" s="7">
        <v>610000</v>
      </c>
      <c r="G15" s="7">
        <v>110000</v>
      </c>
      <c r="H15" s="7">
        <v>510000</v>
      </c>
      <c r="I15" s="7">
        <f t="shared" si="1"/>
        <v>620000</v>
      </c>
      <c r="J15" s="7">
        <f t="shared" si="2"/>
        <v>280000</v>
      </c>
      <c r="K15" s="6">
        <f t="shared" si="3"/>
        <v>0.67777777777777781</v>
      </c>
      <c r="L15" s="6">
        <f t="shared" si="4"/>
        <v>0.12222222222222222</v>
      </c>
      <c r="M15" s="4" t="s">
        <v>230</v>
      </c>
      <c r="N15" s="4" t="s">
        <v>265</v>
      </c>
    </row>
    <row r="16" spans="1:14" ht="20" customHeight="1">
      <c r="A16" s="4" t="s">
        <v>266</v>
      </c>
      <c r="B16" s="4" t="s">
        <v>267</v>
      </c>
      <c r="C16" s="7">
        <v>720000</v>
      </c>
      <c r="D16" s="7">
        <v>-420000</v>
      </c>
      <c r="E16" s="7">
        <f t="shared" si="0"/>
        <v>300000</v>
      </c>
      <c r="F16" s="7">
        <v>0</v>
      </c>
      <c r="G16" s="7">
        <v>0</v>
      </c>
      <c r="H16" s="7">
        <v>300000</v>
      </c>
      <c r="I16" s="7">
        <f t="shared" si="1"/>
        <v>300000</v>
      </c>
      <c r="J16" s="7">
        <f t="shared" si="2"/>
        <v>0</v>
      </c>
      <c r="K16" s="6">
        <f t="shared" si="3"/>
        <v>0</v>
      </c>
      <c r="L16" s="6">
        <f t="shared" si="4"/>
        <v>0</v>
      </c>
      <c r="M16" s="4" t="s">
        <v>226</v>
      </c>
      <c r="N16" s="4" t="s">
        <v>268</v>
      </c>
    </row>
  </sheetData>
  <conditionalFormatting sqref="J2:J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baseColWidth="10" defaultColWidth="8.83203125" defaultRowHeight="15"/>
  <cols>
    <col min="1" max="1" width="6.6640625" customWidth="1"/>
    <col min="2" max="2" width="16.83203125" customWidth="1"/>
    <col min="3" max="3" width="28" customWidth="1"/>
    <col min="4" max="4" width="13.5" customWidth="1"/>
    <col min="5" max="5" width="11.33203125" customWidth="1"/>
    <col min="6" max="6" width="14.5" customWidth="1"/>
    <col min="7" max="7" width="11.33203125" customWidth="1"/>
    <col min="8" max="8" width="13.33203125" customWidth="1"/>
    <col min="9" max="9" width="13.1640625" customWidth="1"/>
    <col min="10" max="10" width="12.83203125" customWidth="1"/>
    <col min="11" max="11" width="8.6640625" customWidth="1"/>
    <col min="12" max="12" width="7.33203125" customWidth="1"/>
    <col min="13" max="13" width="34" customWidth="1"/>
  </cols>
  <sheetData>
    <row r="1" spans="1:13" ht="20" customHeight="1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s="3" t="s">
        <v>275</v>
      </c>
      <c r="H1" s="3" t="s">
        <v>276</v>
      </c>
      <c r="I1" s="3" t="s">
        <v>277</v>
      </c>
      <c r="J1" s="3" t="s">
        <v>278</v>
      </c>
      <c r="K1" s="3" t="s">
        <v>79</v>
      </c>
      <c r="L1" s="3" t="s">
        <v>28</v>
      </c>
      <c r="M1" s="3" t="s">
        <v>279</v>
      </c>
    </row>
    <row r="2" spans="1:13" ht="20" customHeight="1">
      <c r="A2" s="4" t="s">
        <v>280</v>
      </c>
      <c r="B2" s="4" t="s">
        <v>281</v>
      </c>
      <c r="C2" s="4" t="s">
        <v>282</v>
      </c>
      <c r="D2" s="7">
        <v>1820000</v>
      </c>
      <c r="E2" s="5">
        <v>46080</v>
      </c>
      <c r="F2" s="5">
        <v>46094</v>
      </c>
      <c r="G2" s="5">
        <v>46108</v>
      </c>
      <c r="H2" s="5">
        <v>46132</v>
      </c>
      <c r="I2" s="5">
        <v>46134</v>
      </c>
      <c r="J2" s="4">
        <v>5</v>
      </c>
      <c r="K2" s="4" t="s">
        <v>87</v>
      </c>
      <c r="L2" s="4" t="s">
        <v>86</v>
      </c>
      <c r="M2" s="4" t="s">
        <v>283</v>
      </c>
    </row>
    <row r="3" spans="1:13" ht="20" customHeight="1">
      <c r="A3" s="4" t="s">
        <v>284</v>
      </c>
      <c r="B3" s="4" t="s">
        <v>285</v>
      </c>
      <c r="C3" s="4" t="s">
        <v>286</v>
      </c>
      <c r="D3" s="7">
        <v>2050000</v>
      </c>
      <c r="E3" s="5">
        <v>46087</v>
      </c>
      <c r="F3" s="5">
        <v>46101</v>
      </c>
      <c r="G3" s="5">
        <v>46115</v>
      </c>
      <c r="H3" s="5">
        <v>46167</v>
      </c>
      <c r="I3" s="5">
        <v>46170</v>
      </c>
      <c r="J3" s="4">
        <v>8</v>
      </c>
      <c r="K3" s="4" t="s">
        <v>87</v>
      </c>
      <c r="L3" s="4" t="s">
        <v>86</v>
      </c>
      <c r="M3" s="4" t="s">
        <v>283</v>
      </c>
    </row>
    <row r="4" spans="1:13" ht="20" customHeight="1">
      <c r="A4" s="4" t="s">
        <v>287</v>
      </c>
      <c r="B4" s="4" t="s">
        <v>288</v>
      </c>
      <c r="C4" s="4" t="s">
        <v>289</v>
      </c>
      <c r="D4" s="7">
        <v>2790000</v>
      </c>
      <c r="E4" s="5">
        <v>46073</v>
      </c>
      <c r="F4" s="5">
        <v>46087</v>
      </c>
      <c r="G4" s="5">
        <v>46101</v>
      </c>
      <c r="H4" s="5">
        <v>46216</v>
      </c>
      <c r="I4" s="5">
        <v>46219</v>
      </c>
      <c r="J4" s="4">
        <v>18</v>
      </c>
      <c r="K4" s="4" t="s">
        <v>87</v>
      </c>
      <c r="L4" s="4" t="s">
        <v>86</v>
      </c>
      <c r="M4" s="4" t="s">
        <v>290</v>
      </c>
    </row>
    <row r="5" spans="1:13" ht="20" customHeight="1">
      <c r="A5" s="4" t="s">
        <v>291</v>
      </c>
      <c r="B5" s="4" t="s">
        <v>292</v>
      </c>
      <c r="C5" s="4" t="s">
        <v>293</v>
      </c>
      <c r="D5" s="7">
        <v>840000</v>
      </c>
      <c r="E5" s="5">
        <v>46094</v>
      </c>
      <c r="F5" s="5">
        <v>46108</v>
      </c>
      <c r="G5" s="5">
        <v>46122</v>
      </c>
      <c r="H5" s="5">
        <v>46265</v>
      </c>
      <c r="I5" s="5">
        <v>46268</v>
      </c>
      <c r="J5" s="4">
        <v>12</v>
      </c>
      <c r="K5" s="4" t="s">
        <v>139</v>
      </c>
      <c r="L5" s="4" t="s">
        <v>86</v>
      </c>
      <c r="M5" s="4" t="s">
        <v>294</v>
      </c>
    </row>
    <row r="6" spans="1:13" ht="20" customHeight="1">
      <c r="A6" s="4" t="s">
        <v>295</v>
      </c>
      <c r="B6" s="4" t="s">
        <v>296</v>
      </c>
      <c r="C6" s="4" t="s">
        <v>151</v>
      </c>
      <c r="D6" s="7">
        <v>1260000</v>
      </c>
      <c r="E6" s="5">
        <v>46094</v>
      </c>
      <c r="F6" s="5">
        <v>46108</v>
      </c>
      <c r="G6" s="5">
        <v>46122</v>
      </c>
      <c r="H6" s="5">
        <v>46272</v>
      </c>
      <c r="I6" s="5">
        <v>46274</v>
      </c>
      <c r="J6" s="4">
        <v>20</v>
      </c>
      <c r="K6" s="4" t="s">
        <v>139</v>
      </c>
      <c r="L6" s="4" t="s">
        <v>86</v>
      </c>
      <c r="M6" s="4" t="s">
        <v>297</v>
      </c>
    </row>
    <row r="7" spans="1:13" ht="20" customHeight="1">
      <c r="A7" s="4" t="s">
        <v>298</v>
      </c>
      <c r="B7" s="4" t="s">
        <v>299</v>
      </c>
      <c r="C7" s="4" t="s">
        <v>300</v>
      </c>
      <c r="D7" s="7">
        <v>1810000</v>
      </c>
      <c r="E7" s="5">
        <v>46080</v>
      </c>
      <c r="F7" s="5">
        <v>46094</v>
      </c>
      <c r="G7" s="5">
        <v>46108</v>
      </c>
      <c r="H7" s="5">
        <v>46279</v>
      </c>
      <c r="I7" s="5">
        <v>46282</v>
      </c>
      <c r="J7" s="4">
        <v>24</v>
      </c>
      <c r="K7" s="4" t="s">
        <v>139</v>
      </c>
      <c r="L7" s="4" t="s">
        <v>86</v>
      </c>
      <c r="M7" s="4" t="s">
        <v>301</v>
      </c>
    </row>
    <row r="8" spans="1:13" ht="20" customHeight="1">
      <c r="A8" s="4" t="s">
        <v>302</v>
      </c>
      <c r="B8" s="4" t="s">
        <v>303</v>
      </c>
      <c r="C8" s="4" t="s">
        <v>304</v>
      </c>
      <c r="D8" s="7">
        <v>2030000</v>
      </c>
      <c r="E8" s="5">
        <v>46080</v>
      </c>
      <c r="F8" s="5">
        <v>46094</v>
      </c>
      <c r="G8" s="5">
        <v>46108</v>
      </c>
      <c r="H8" s="5">
        <v>46304</v>
      </c>
      <c r="I8" s="5">
        <v>46300</v>
      </c>
      <c r="J8" s="4">
        <v>28</v>
      </c>
      <c r="K8" s="4" t="s">
        <v>139</v>
      </c>
      <c r="L8" s="4" t="s">
        <v>86</v>
      </c>
      <c r="M8" s="4" t="s">
        <v>305</v>
      </c>
    </row>
    <row r="9" spans="1:13" ht="20" customHeight="1">
      <c r="A9" s="4" t="s">
        <v>306</v>
      </c>
      <c r="B9" s="4" t="s">
        <v>307</v>
      </c>
      <c r="C9" s="4" t="s">
        <v>308</v>
      </c>
      <c r="D9" s="7">
        <v>2190000</v>
      </c>
      <c r="E9" s="5">
        <v>46115</v>
      </c>
      <c r="F9" s="5">
        <v>46129</v>
      </c>
      <c r="G9" s="5">
        <v>46143</v>
      </c>
      <c r="H9" s="5">
        <v>46293</v>
      </c>
      <c r="I9" s="5">
        <v>46293</v>
      </c>
      <c r="J9" s="4">
        <v>10</v>
      </c>
      <c r="K9" s="4" t="s">
        <v>309</v>
      </c>
      <c r="L9" s="4" t="s">
        <v>86</v>
      </c>
      <c r="M9" s="4" t="s">
        <v>310</v>
      </c>
    </row>
    <row r="10" spans="1:13" ht="20" customHeight="1">
      <c r="A10" s="4" t="s">
        <v>311</v>
      </c>
      <c r="B10" s="4" t="s">
        <v>312</v>
      </c>
      <c r="C10" s="4" t="s">
        <v>313</v>
      </c>
      <c r="D10" s="7">
        <v>940000</v>
      </c>
      <c r="E10" s="5">
        <v>46143</v>
      </c>
      <c r="F10" s="5">
        <v>46157</v>
      </c>
      <c r="G10" s="5">
        <v>46174</v>
      </c>
      <c r="H10" s="5">
        <v>46349</v>
      </c>
      <c r="I10" s="5">
        <v>46349</v>
      </c>
      <c r="J10" s="4">
        <v>12</v>
      </c>
      <c r="K10" s="4" t="s">
        <v>309</v>
      </c>
      <c r="L10" s="4" t="s">
        <v>86</v>
      </c>
      <c r="M10" s="4" t="s">
        <v>314</v>
      </c>
    </row>
    <row r="11" spans="1:13" ht="20" customHeight="1">
      <c r="A11" s="4" t="s">
        <v>315</v>
      </c>
      <c r="B11" s="4" t="s">
        <v>316</v>
      </c>
      <c r="C11" s="4" t="s">
        <v>317</v>
      </c>
      <c r="D11" s="7">
        <v>610000</v>
      </c>
      <c r="E11" s="5">
        <v>46185</v>
      </c>
      <c r="F11" s="5">
        <v>46199</v>
      </c>
      <c r="G11" s="5">
        <v>46213</v>
      </c>
      <c r="H11" s="5">
        <v>46391</v>
      </c>
      <c r="I11" s="5">
        <v>46391</v>
      </c>
      <c r="J11" s="4">
        <v>18</v>
      </c>
      <c r="K11" s="4" t="s">
        <v>309</v>
      </c>
      <c r="L11" s="4" t="s">
        <v>318</v>
      </c>
      <c r="M11" s="4" t="s">
        <v>319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/>
  </sheetViews>
  <sheetFormatPr baseColWidth="10" defaultColWidth="8.83203125" defaultRowHeight="15"/>
  <cols>
    <col min="1" max="1" width="6.1640625" customWidth="1"/>
    <col min="2" max="2" width="12.33203125" customWidth="1"/>
    <col min="3" max="3" width="10.1640625" customWidth="1"/>
    <col min="4" max="4" width="34" customWidth="1"/>
    <col min="5" max="5" width="12.1640625" customWidth="1"/>
    <col min="6" max="6" width="14.83203125" customWidth="1"/>
    <col min="7" max="8" width="12.1640625" customWidth="1"/>
    <col min="9" max="9" width="8" customWidth="1"/>
    <col min="10" max="10" width="18.1640625" customWidth="1"/>
    <col min="11" max="11" width="9.5" customWidth="1"/>
    <col min="12" max="12" width="9" customWidth="1"/>
    <col min="13" max="13" width="38" customWidth="1"/>
  </cols>
  <sheetData>
    <row r="1" spans="1:13" ht="20" customHeight="1">
      <c r="A1" s="3" t="s">
        <v>320</v>
      </c>
      <c r="B1" s="3" t="s">
        <v>321</v>
      </c>
      <c r="C1" s="3" t="s">
        <v>322</v>
      </c>
      <c r="D1" s="3" t="s">
        <v>323</v>
      </c>
      <c r="E1" s="3" t="s">
        <v>324</v>
      </c>
      <c r="F1" s="3" t="s">
        <v>325</v>
      </c>
      <c r="G1" s="3" t="s">
        <v>326</v>
      </c>
      <c r="H1" s="3" t="s">
        <v>327</v>
      </c>
      <c r="I1" s="3" t="s">
        <v>79</v>
      </c>
      <c r="J1" s="3" t="s">
        <v>328</v>
      </c>
      <c r="K1" s="3" t="s">
        <v>329</v>
      </c>
      <c r="L1" s="3" t="s">
        <v>330</v>
      </c>
      <c r="M1" s="3" t="s">
        <v>331</v>
      </c>
    </row>
    <row r="2" spans="1:13" ht="20" customHeight="1">
      <c r="A2" s="4" t="s">
        <v>332</v>
      </c>
      <c r="B2" s="5">
        <v>46139</v>
      </c>
      <c r="C2" s="4" t="s">
        <v>333</v>
      </c>
      <c r="D2" s="4" t="s">
        <v>334</v>
      </c>
      <c r="E2" s="4" t="s">
        <v>114</v>
      </c>
      <c r="F2" s="4" t="s">
        <v>335</v>
      </c>
      <c r="G2" s="5">
        <v>46143</v>
      </c>
      <c r="H2" s="5">
        <v>46142</v>
      </c>
      <c r="I2" s="4" t="s">
        <v>283</v>
      </c>
      <c r="J2" s="4">
        <v>0</v>
      </c>
      <c r="K2" s="7">
        <v>0</v>
      </c>
      <c r="L2" s="4"/>
      <c r="M2" s="4" t="s">
        <v>336</v>
      </c>
    </row>
    <row r="3" spans="1:13" ht="20" customHeight="1">
      <c r="A3" s="4" t="s">
        <v>337</v>
      </c>
      <c r="B3" s="5">
        <v>46160</v>
      </c>
      <c r="C3" s="4" t="s">
        <v>338</v>
      </c>
      <c r="D3" s="4" t="s">
        <v>339</v>
      </c>
      <c r="E3" s="4" t="s">
        <v>122</v>
      </c>
      <c r="F3" s="4" t="s">
        <v>340</v>
      </c>
      <c r="G3" s="5">
        <v>46164</v>
      </c>
      <c r="H3" s="5">
        <v>46163</v>
      </c>
      <c r="I3" s="4" t="s">
        <v>283</v>
      </c>
      <c r="J3" s="4">
        <v>0</v>
      </c>
      <c r="K3" s="7">
        <v>12500</v>
      </c>
      <c r="L3" s="4" t="s">
        <v>341</v>
      </c>
      <c r="M3" s="4" t="s">
        <v>342</v>
      </c>
    </row>
    <row r="4" spans="1:13" ht="20" customHeight="1">
      <c r="A4" s="4" t="s">
        <v>343</v>
      </c>
      <c r="B4" s="5">
        <v>46175</v>
      </c>
      <c r="C4" s="4" t="s">
        <v>344</v>
      </c>
      <c r="D4" s="4" t="s">
        <v>345</v>
      </c>
      <c r="E4" s="4" t="s">
        <v>144</v>
      </c>
      <c r="F4" s="4" t="s">
        <v>92</v>
      </c>
      <c r="G4" s="5">
        <v>46181</v>
      </c>
      <c r="H4" s="5">
        <v>46182</v>
      </c>
      <c r="I4" s="4" t="s">
        <v>283</v>
      </c>
      <c r="J4" s="4">
        <v>1</v>
      </c>
      <c r="K4" s="7">
        <v>4500</v>
      </c>
      <c r="L4" s="4"/>
      <c r="M4" s="4" t="s">
        <v>346</v>
      </c>
    </row>
    <row r="5" spans="1:13" ht="20" customHeight="1">
      <c r="A5" s="4" t="s">
        <v>347</v>
      </c>
      <c r="B5" s="5">
        <v>46192</v>
      </c>
      <c r="C5" s="4" t="s">
        <v>338</v>
      </c>
      <c r="D5" s="4" t="s">
        <v>348</v>
      </c>
      <c r="E5" s="4" t="s">
        <v>130</v>
      </c>
      <c r="F5" s="4" t="s">
        <v>340</v>
      </c>
      <c r="G5" s="5">
        <v>46198</v>
      </c>
      <c r="H5" s="5">
        <v>46197</v>
      </c>
      <c r="I5" s="4" t="s">
        <v>283</v>
      </c>
      <c r="J5" s="4">
        <v>0</v>
      </c>
      <c r="K5" s="7">
        <v>0</v>
      </c>
      <c r="L5" s="4"/>
      <c r="M5" s="4" t="s">
        <v>349</v>
      </c>
    </row>
    <row r="6" spans="1:13" ht="20" customHeight="1">
      <c r="A6" s="4" t="s">
        <v>350</v>
      </c>
      <c r="B6" s="5">
        <v>46210</v>
      </c>
      <c r="C6" s="4" t="s">
        <v>37</v>
      </c>
      <c r="D6" s="4" t="s">
        <v>351</v>
      </c>
      <c r="E6" s="4" t="s">
        <v>171</v>
      </c>
      <c r="F6" s="4" t="s">
        <v>352</v>
      </c>
      <c r="G6" s="5">
        <v>46216</v>
      </c>
      <c r="H6" s="5">
        <v>46213</v>
      </c>
      <c r="I6" s="4" t="s">
        <v>283</v>
      </c>
      <c r="J6" s="4">
        <v>0</v>
      </c>
      <c r="K6" s="7">
        <v>0</v>
      </c>
      <c r="L6" s="4"/>
      <c r="M6" s="4" t="s">
        <v>353</v>
      </c>
    </row>
    <row r="7" spans="1:13" ht="20" customHeight="1">
      <c r="A7" s="4" t="s">
        <v>354</v>
      </c>
      <c r="B7" s="5">
        <v>46171</v>
      </c>
      <c r="C7" s="4" t="s">
        <v>333</v>
      </c>
      <c r="D7" s="4" t="s">
        <v>355</v>
      </c>
      <c r="E7" s="4" t="s">
        <v>114</v>
      </c>
      <c r="F7" s="4" t="s">
        <v>335</v>
      </c>
      <c r="G7" s="5">
        <v>46177</v>
      </c>
      <c r="H7" s="5">
        <v>46181</v>
      </c>
      <c r="I7" s="4" t="s">
        <v>283</v>
      </c>
      <c r="J7" s="4">
        <v>3</v>
      </c>
      <c r="K7" s="7">
        <v>68500</v>
      </c>
      <c r="L7" s="4" t="s">
        <v>356</v>
      </c>
      <c r="M7" s="4" t="s">
        <v>357</v>
      </c>
    </row>
    <row r="8" spans="1:13" ht="20" customHeight="1">
      <c r="A8" s="4" t="s">
        <v>358</v>
      </c>
      <c r="B8" s="5">
        <v>46230</v>
      </c>
      <c r="C8" s="4" t="s">
        <v>344</v>
      </c>
      <c r="D8" s="4" t="s">
        <v>359</v>
      </c>
      <c r="E8" s="4" t="s">
        <v>152</v>
      </c>
      <c r="F8" s="4" t="s">
        <v>92</v>
      </c>
      <c r="G8" s="5">
        <v>46237</v>
      </c>
      <c r="H8" s="5">
        <v>46239</v>
      </c>
      <c r="I8" s="4" t="s">
        <v>283</v>
      </c>
      <c r="J8" s="4">
        <v>2</v>
      </c>
      <c r="K8" s="7">
        <v>18000</v>
      </c>
      <c r="L8" s="4" t="s">
        <v>360</v>
      </c>
      <c r="M8" s="4" t="s">
        <v>361</v>
      </c>
    </row>
    <row r="9" spans="1:13" ht="20" customHeight="1">
      <c r="A9" s="4" t="s">
        <v>362</v>
      </c>
      <c r="B9" s="5">
        <v>46245</v>
      </c>
      <c r="C9" s="4" t="s">
        <v>67</v>
      </c>
      <c r="D9" s="4" t="s">
        <v>363</v>
      </c>
      <c r="E9" s="4" t="s">
        <v>171</v>
      </c>
      <c r="F9" s="4" t="s">
        <v>364</v>
      </c>
      <c r="G9" s="5">
        <v>46251</v>
      </c>
      <c r="H9" s="5">
        <v>46248</v>
      </c>
      <c r="I9" s="4" t="s">
        <v>283</v>
      </c>
      <c r="J9" s="4">
        <v>0</v>
      </c>
      <c r="K9" s="7">
        <v>0</v>
      </c>
      <c r="L9" s="4"/>
      <c r="M9" s="4" t="s">
        <v>365</v>
      </c>
    </row>
    <row r="10" spans="1:13" ht="20" customHeight="1">
      <c r="A10" s="4" t="s">
        <v>366</v>
      </c>
      <c r="B10" s="5">
        <v>46254</v>
      </c>
      <c r="C10" s="4" t="s">
        <v>53</v>
      </c>
      <c r="D10" s="4" t="s">
        <v>367</v>
      </c>
      <c r="E10" s="4" t="s">
        <v>167</v>
      </c>
      <c r="F10" s="4" t="s">
        <v>368</v>
      </c>
      <c r="G10" s="5">
        <v>46260</v>
      </c>
      <c r="H10" s="5">
        <v>46265</v>
      </c>
      <c r="I10" s="4" t="s">
        <v>283</v>
      </c>
      <c r="J10" s="4">
        <v>2</v>
      </c>
      <c r="K10" s="7">
        <v>22500</v>
      </c>
      <c r="L10" s="4" t="s">
        <v>369</v>
      </c>
      <c r="M10" s="4" t="s">
        <v>370</v>
      </c>
    </row>
    <row r="11" spans="1:13" ht="20" customHeight="1">
      <c r="A11" s="4" t="s">
        <v>371</v>
      </c>
      <c r="B11" s="5">
        <v>46265</v>
      </c>
      <c r="C11" s="4" t="s">
        <v>344</v>
      </c>
      <c r="D11" s="4" t="s">
        <v>372</v>
      </c>
      <c r="E11" s="4" t="s">
        <v>373</v>
      </c>
      <c r="F11" s="4" t="s">
        <v>92</v>
      </c>
      <c r="G11" s="5">
        <v>46269</v>
      </c>
      <c r="H11" s="5">
        <v>46273</v>
      </c>
      <c r="I11" s="4" t="s">
        <v>374</v>
      </c>
      <c r="J11" s="4">
        <v>1</v>
      </c>
      <c r="K11" s="7">
        <v>7500</v>
      </c>
      <c r="L11" s="4"/>
      <c r="M11" s="4" t="s">
        <v>375</v>
      </c>
    </row>
    <row r="12" spans="1:13" ht="20" customHeight="1">
      <c r="A12" s="4" t="s">
        <v>376</v>
      </c>
      <c r="B12" s="5">
        <v>46267</v>
      </c>
      <c r="C12" s="4" t="s">
        <v>37</v>
      </c>
      <c r="D12" s="4" t="s">
        <v>377</v>
      </c>
      <c r="E12" s="4" t="s">
        <v>171</v>
      </c>
      <c r="F12" s="4" t="s">
        <v>364</v>
      </c>
      <c r="G12" s="5">
        <v>46274</v>
      </c>
      <c r="H12" s="5">
        <v>46274</v>
      </c>
      <c r="I12" s="4" t="s">
        <v>374</v>
      </c>
      <c r="J12" s="4">
        <v>0</v>
      </c>
      <c r="K12" s="7">
        <v>3200</v>
      </c>
      <c r="L12" s="4"/>
      <c r="M12" s="4" t="s">
        <v>378</v>
      </c>
    </row>
    <row r="13" spans="1:13" ht="20" customHeight="1">
      <c r="A13" s="4" t="s">
        <v>379</v>
      </c>
      <c r="B13" s="5">
        <v>46269</v>
      </c>
      <c r="C13" s="4" t="s">
        <v>338</v>
      </c>
      <c r="D13" s="4" t="s">
        <v>380</v>
      </c>
      <c r="E13" s="4" t="s">
        <v>130</v>
      </c>
      <c r="F13" s="4" t="s">
        <v>340</v>
      </c>
      <c r="G13" s="5">
        <v>46275</v>
      </c>
      <c r="H13" s="5">
        <v>46275</v>
      </c>
      <c r="I13" s="4" t="s">
        <v>374</v>
      </c>
      <c r="J13" s="4">
        <v>0</v>
      </c>
      <c r="K13" s="7">
        <v>6400</v>
      </c>
      <c r="L13" s="4"/>
      <c r="M13" s="4" t="s">
        <v>381</v>
      </c>
    </row>
    <row r="14" spans="1:13" ht="20" customHeight="1">
      <c r="A14" s="4" t="s">
        <v>382</v>
      </c>
      <c r="B14" s="5">
        <v>46273</v>
      </c>
      <c r="C14" s="4" t="s">
        <v>53</v>
      </c>
      <c r="D14" s="4" t="s">
        <v>383</v>
      </c>
      <c r="E14" s="4" t="s">
        <v>167</v>
      </c>
      <c r="F14" s="4" t="s">
        <v>384</v>
      </c>
      <c r="G14" s="5">
        <v>46279</v>
      </c>
      <c r="H14" s="5"/>
      <c r="I14" s="4" t="s">
        <v>385</v>
      </c>
      <c r="J14" s="4">
        <v>0</v>
      </c>
      <c r="K14" s="7">
        <v>18000</v>
      </c>
      <c r="L14" s="4" t="s">
        <v>386</v>
      </c>
      <c r="M14" s="4" t="s">
        <v>387</v>
      </c>
    </row>
    <row r="15" spans="1:13" ht="20" customHeight="1">
      <c r="A15" s="4" t="s">
        <v>388</v>
      </c>
      <c r="B15" s="5">
        <v>46274</v>
      </c>
      <c r="C15" s="4" t="s">
        <v>344</v>
      </c>
      <c r="D15" s="4" t="s">
        <v>389</v>
      </c>
      <c r="E15" s="4" t="s">
        <v>390</v>
      </c>
      <c r="F15" s="4" t="s">
        <v>92</v>
      </c>
      <c r="G15" s="5">
        <v>46280</v>
      </c>
      <c r="H15" s="5"/>
      <c r="I15" s="4" t="s">
        <v>385</v>
      </c>
      <c r="J15" s="4">
        <v>0</v>
      </c>
      <c r="K15" s="7">
        <v>0</v>
      </c>
      <c r="L15" s="4"/>
      <c r="M15" s="4" t="s">
        <v>391</v>
      </c>
    </row>
    <row r="16" spans="1:13" ht="20" customHeight="1">
      <c r="A16" s="4" t="s">
        <v>392</v>
      </c>
      <c r="B16" s="5">
        <v>46275</v>
      </c>
      <c r="C16" s="4" t="s">
        <v>67</v>
      </c>
      <c r="D16" s="4" t="s">
        <v>393</v>
      </c>
      <c r="E16" s="4" t="s">
        <v>394</v>
      </c>
      <c r="F16" s="4" t="s">
        <v>364</v>
      </c>
      <c r="G16" s="5">
        <v>46281</v>
      </c>
      <c r="H16" s="5"/>
      <c r="I16" s="4" t="s">
        <v>385</v>
      </c>
      <c r="J16" s="4">
        <v>0</v>
      </c>
      <c r="K16" s="7">
        <v>0</v>
      </c>
      <c r="L16" s="4"/>
      <c r="M16" s="4" t="s">
        <v>395</v>
      </c>
    </row>
  </sheetData>
  <conditionalFormatting sqref="G2:G16">
    <cfRule type="expression" dxfId="3" priority="1">
      <formula>AND(I2="Open",G2&lt;TODAY())</formula>
    </cfRule>
  </conditionalFormatting>
  <dataValidations count="1">
    <dataValidation type="list" sqref="I2:I16" xr:uid="{00000000-0002-0000-0400-000000000000}">
      <formula1>"Open,Answered,Closed,Void"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/>
  </sheetViews>
  <sheetFormatPr baseColWidth="10" defaultColWidth="8.83203125" defaultRowHeight="15"/>
  <cols>
    <col min="1" max="1" width="9.1640625" customWidth="1"/>
    <col min="2" max="2" width="10.1640625" customWidth="1"/>
    <col min="3" max="3" width="6.6640625" customWidth="1"/>
    <col min="4" max="4" width="34" customWidth="1"/>
    <col min="5" max="5" width="16.83203125" customWidth="1"/>
    <col min="6" max="6" width="12.6640625" customWidth="1"/>
    <col min="7" max="7" width="12.5" customWidth="1"/>
    <col min="8" max="8" width="12" customWidth="1"/>
    <col min="9" max="9" width="14.33203125" customWidth="1"/>
    <col min="10" max="10" width="3.33203125" customWidth="1"/>
    <col min="11" max="11" width="13.33203125" customWidth="1"/>
    <col min="12" max="12" width="8.33203125" customWidth="1"/>
    <col min="13" max="13" width="30" customWidth="1"/>
  </cols>
  <sheetData>
    <row r="1" spans="1:13" ht="20" customHeight="1">
      <c r="A1" s="3" t="s">
        <v>396</v>
      </c>
      <c r="B1" s="3" t="s">
        <v>397</v>
      </c>
      <c r="C1" s="3" t="s">
        <v>269</v>
      </c>
      <c r="D1" s="3" t="s">
        <v>398</v>
      </c>
      <c r="E1" s="3" t="s">
        <v>399</v>
      </c>
      <c r="F1" s="3" t="s">
        <v>400</v>
      </c>
      <c r="G1" s="3" t="s">
        <v>401</v>
      </c>
      <c r="H1" s="3" t="s">
        <v>402</v>
      </c>
      <c r="I1" s="3" t="s">
        <v>79</v>
      </c>
      <c r="J1" s="3" t="s">
        <v>403</v>
      </c>
      <c r="K1" s="3" t="s">
        <v>276</v>
      </c>
      <c r="L1" s="3" t="s">
        <v>404</v>
      </c>
      <c r="M1" s="3" t="s">
        <v>82</v>
      </c>
    </row>
    <row r="2" spans="1:13" ht="20" customHeight="1">
      <c r="A2" s="4" t="s">
        <v>405</v>
      </c>
      <c r="B2" s="4" t="s">
        <v>406</v>
      </c>
      <c r="C2" s="4" t="s">
        <v>284</v>
      </c>
      <c r="D2" s="4" t="s">
        <v>407</v>
      </c>
      <c r="E2" s="4" t="s">
        <v>285</v>
      </c>
      <c r="F2" s="5">
        <v>46111</v>
      </c>
      <c r="G2" s="5">
        <v>46118</v>
      </c>
      <c r="H2" s="5">
        <v>46115</v>
      </c>
      <c r="I2" s="4" t="s">
        <v>408</v>
      </c>
      <c r="J2" s="4">
        <v>0</v>
      </c>
      <c r="K2" s="5">
        <v>46167</v>
      </c>
      <c r="L2" s="4">
        <v>52</v>
      </c>
      <c r="M2" s="4"/>
    </row>
    <row r="3" spans="1:13" ht="20" customHeight="1">
      <c r="A3" s="4" t="s">
        <v>409</v>
      </c>
      <c r="B3" s="4" t="s">
        <v>410</v>
      </c>
      <c r="C3" s="4" t="s">
        <v>287</v>
      </c>
      <c r="D3" s="4" t="s">
        <v>411</v>
      </c>
      <c r="E3" s="4" t="s">
        <v>288</v>
      </c>
      <c r="F3" s="5">
        <v>46104</v>
      </c>
      <c r="G3" s="5">
        <v>46118</v>
      </c>
      <c r="H3" s="5">
        <v>46126</v>
      </c>
      <c r="I3" s="4" t="s">
        <v>412</v>
      </c>
      <c r="J3" s="4">
        <v>0</v>
      </c>
      <c r="K3" s="5">
        <v>46174</v>
      </c>
      <c r="L3" s="4">
        <v>48</v>
      </c>
      <c r="M3" s="4" t="s">
        <v>413</v>
      </c>
    </row>
    <row r="4" spans="1:13" ht="20" customHeight="1">
      <c r="A4" s="4" t="s">
        <v>414</v>
      </c>
      <c r="B4" s="4" t="s">
        <v>410</v>
      </c>
      <c r="C4" s="4" t="s">
        <v>287</v>
      </c>
      <c r="D4" s="4" t="s">
        <v>415</v>
      </c>
      <c r="E4" s="4" t="s">
        <v>288</v>
      </c>
      <c r="F4" s="5">
        <v>46129</v>
      </c>
      <c r="G4" s="5">
        <v>46136</v>
      </c>
      <c r="H4" s="5">
        <v>46135</v>
      </c>
      <c r="I4" s="4" t="s">
        <v>408</v>
      </c>
      <c r="J4" s="4">
        <v>1</v>
      </c>
      <c r="K4" s="5">
        <v>46174</v>
      </c>
      <c r="L4" s="4">
        <v>39</v>
      </c>
      <c r="M4" s="4" t="s">
        <v>416</v>
      </c>
    </row>
    <row r="5" spans="1:13" ht="20" customHeight="1">
      <c r="A5" s="4" t="s">
        <v>417</v>
      </c>
      <c r="B5" s="4" t="s">
        <v>418</v>
      </c>
      <c r="C5" s="4" t="s">
        <v>291</v>
      </c>
      <c r="D5" s="4" t="s">
        <v>419</v>
      </c>
      <c r="E5" s="4" t="s">
        <v>292</v>
      </c>
      <c r="F5" s="5">
        <v>46125</v>
      </c>
      <c r="G5" s="5">
        <v>46139</v>
      </c>
      <c r="H5" s="5">
        <v>46136</v>
      </c>
      <c r="I5" s="4" t="s">
        <v>408</v>
      </c>
      <c r="J5" s="4">
        <v>0</v>
      </c>
      <c r="K5" s="5">
        <v>46265</v>
      </c>
      <c r="L5" s="4">
        <v>129</v>
      </c>
      <c r="M5" s="4"/>
    </row>
    <row r="6" spans="1:13" ht="20" customHeight="1">
      <c r="A6" s="4" t="s">
        <v>420</v>
      </c>
      <c r="B6" s="4" t="s">
        <v>421</v>
      </c>
      <c r="C6" s="4" t="s">
        <v>295</v>
      </c>
      <c r="D6" s="4" t="s">
        <v>422</v>
      </c>
      <c r="E6" s="4" t="s">
        <v>296</v>
      </c>
      <c r="F6" s="5">
        <v>46132</v>
      </c>
      <c r="G6" s="5">
        <v>46146</v>
      </c>
      <c r="H6" s="5">
        <v>46149</v>
      </c>
      <c r="I6" s="4" t="s">
        <v>412</v>
      </c>
      <c r="J6" s="4">
        <v>0</v>
      </c>
      <c r="K6" s="5">
        <v>46272</v>
      </c>
      <c r="L6" s="4">
        <v>123</v>
      </c>
      <c r="M6" s="4" t="s">
        <v>423</v>
      </c>
    </row>
    <row r="7" spans="1:13" ht="20" customHeight="1">
      <c r="A7" s="4" t="s">
        <v>424</v>
      </c>
      <c r="B7" s="4" t="s">
        <v>421</v>
      </c>
      <c r="C7" s="4" t="s">
        <v>295</v>
      </c>
      <c r="D7" s="4" t="s">
        <v>425</v>
      </c>
      <c r="E7" s="4" t="s">
        <v>296</v>
      </c>
      <c r="F7" s="5">
        <v>46153</v>
      </c>
      <c r="G7" s="5">
        <v>46160</v>
      </c>
      <c r="H7" s="5">
        <v>46160</v>
      </c>
      <c r="I7" s="4" t="s">
        <v>408</v>
      </c>
      <c r="J7" s="4">
        <v>1</v>
      </c>
      <c r="K7" s="5">
        <v>46272</v>
      </c>
      <c r="L7" s="4">
        <v>112</v>
      </c>
      <c r="M7" s="4" t="s">
        <v>426</v>
      </c>
    </row>
    <row r="8" spans="1:13" ht="20" customHeight="1">
      <c r="A8" s="4" t="s">
        <v>427</v>
      </c>
      <c r="B8" s="4" t="s">
        <v>428</v>
      </c>
      <c r="C8" s="4" t="s">
        <v>298</v>
      </c>
      <c r="D8" s="4" t="s">
        <v>429</v>
      </c>
      <c r="E8" s="4" t="s">
        <v>299</v>
      </c>
      <c r="F8" s="5">
        <v>46111</v>
      </c>
      <c r="G8" s="5">
        <v>46125</v>
      </c>
      <c r="H8" s="5">
        <v>46122</v>
      </c>
      <c r="I8" s="4" t="s">
        <v>408</v>
      </c>
      <c r="J8" s="4">
        <v>0</v>
      </c>
      <c r="K8" s="5">
        <v>46279</v>
      </c>
      <c r="L8" s="4">
        <v>157</v>
      </c>
      <c r="M8" s="4" t="s">
        <v>430</v>
      </c>
    </row>
    <row r="9" spans="1:13" ht="20" customHeight="1">
      <c r="A9" s="4" t="s">
        <v>431</v>
      </c>
      <c r="B9" s="4" t="s">
        <v>432</v>
      </c>
      <c r="C9" s="4" t="s">
        <v>302</v>
      </c>
      <c r="D9" s="4" t="s">
        <v>433</v>
      </c>
      <c r="E9" s="4" t="s">
        <v>303</v>
      </c>
      <c r="F9" s="5">
        <v>46104</v>
      </c>
      <c r="G9" s="5">
        <v>46118</v>
      </c>
      <c r="H9" s="5">
        <v>46120</v>
      </c>
      <c r="I9" s="4" t="s">
        <v>408</v>
      </c>
      <c r="J9" s="4">
        <v>0</v>
      </c>
      <c r="K9" s="5">
        <v>46304</v>
      </c>
      <c r="L9" s="4">
        <v>184</v>
      </c>
      <c r="M9" s="4" t="s">
        <v>434</v>
      </c>
    </row>
    <row r="10" spans="1:13" ht="20" customHeight="1">
      <c r="A10" s="4" t="s">
        <v>435</v>
      </c>
      <c r="B10" s="4" t="s">
        <v>436</v>
      </c>
      <c r="C10" s="4" t="s">
        <v>306</v>
      </c>
      <c r="D10" s="4" t="s">
        <v>437</v>
      </c>
      <c r="E10" s="4" t="s">
        <v>307</v>
      </c>
      <c r="F10" s="5">
        <v>46216</v>
      </c>
      <c r="G10" s="5">
        <v>46230</v>
      </c>
      <c r="H10" s="5">
        <v>46227</v>
      </c>
      <c r="I10" s="4" t="s">
        <v>408</v>
      </c>
      <c r="J10" s="4">
        <v>0</v>
      </c>
      <c r="K10" s="5">
        <v>46293</v>
      </c>
      <c r="L10" s="4">
        <v>66</v>
      </c>
      <c r="M10" s="4"/>
    </row>
    <row r="11" spans="1:13" ht="20" customHeight="1">
      <c r="A11" s="4" t="s">
        <v>438</v>
      </c>
      <c r="B11" s="4" t="s">
        <v>439</v>
      </c>
      <c r="C11" s="4" t="s">
        <v>306</v>
      </c>
      <c r="D11" s="4" t="s">
        <v>440</v>
      </c>
      <c r="E11" s="4" t="s">
        <v>307</v>
      </c>
      <c r="F11" s="5">
        <v>46237</v>
      </c>
      <c r="G11" s="5">
        <v>46251</v>
      </c>
      <c r="H11" s="5">
        <v>46252</v>
      </c>
      <c r="I11" s="4" t="s">
        <v>408</v>
      </c>
      <c r="J11" s="4">
        <v>0</v>
      </c>
      <c r="K11" s="5">
        <v>46349</v>
      </c>
      <c r="L11" s="4">
        <v>97</v>
      </c>
      <c r="M11" s="4"/>
    </row>
    <row r="12" spans="1:13" ht="20" customHeight="1">
      <c r="A12" s="4" t="s">
        <v>441</v>
      </c>
      <c r="B12" s="4" t="s">
        <v>442</v>
      </c>
      <c r="C12" s="4" t="s">
        <v>311</v>
      </c>
      <c r="D12" s="4" t="s">
        <v>443</v>
      </c>
      <c r="E12" s="4" t="s">
        <v>312</v>
      </c>
      <c r="F12" s="5">
        <v>46251</v>
      </c>
      <c r="G12" s="5">
        <v>46265</v>
      </c>
      <c r="H12" s="5">
        <v>46262</v>
      </c>
      <c r="I12" s="4" t="s">
        <v>408</v>
      </c>
      <c r="J12" s="4">
        <v>0</v>
      </c>
      <c r="K12" s="5">
        <v>46349</v>
      </c>
      <c r="L12" s="4">
        <v>87</v>
      </c>
      <c r="M12" s="4" t="s">
        <v>444</v>
      </c>
    </row>
    <row r="13" spans="1:13" ht="20" customHeight="1">
      <c r="A13" s="4" t="s">
        <v>445</v>
      </c>
      <c r="B13" s="4" t="s">
        <v>446</v>
      </c>
      <c r="C13" s="4" t="s">
        <v>311</v>
      </c>
      <c r="D13" s="4" t="s">
        <v>447</v>
      </c>
      <c r="E13" s="4" t="s">
        <v>312</v>
      </c>
      <c r="F13" s="5">
        <v>46258</v>
      </c>
      <c r="G13" s="5">
        <v>46272</v>
      </c>
      <c r="H13" s="5">
        <v>46269</v>
      </c>
      <c r="I13" s="4" t="s">
        <v>408</v>
      </c>
      <c r="J13" s="4">
        <v>0</v>
      </c>
      <c r="K13" s="5">
        <v>46363</v>
      </c>
      <c r="L13" s="4">
        <v>94</v>
      </c>
      <c r="M13" s="4"/>
    </row>
    <row r="14" spans="1:13" ht="20" customHeight="1">
      <c r="A14" s="4" t="s">
        <v>448</v>
      </c>
      <c r="B14" s="4" t="s">
        <v>449</v>
      </c>
      <c r="C14" s="4" t="s">
        <v>315</v>
      </c>
      <c r="D14" s="4" t="s">
        <v>450</v>
      </c>
      <c r="E14" s="4" t="s">
        <v>316</v>
      </c>
      <c r="F14" s="5">
        <v>46265</v>
      </c>
      <c r="G14" s="5">
        <v>46279</v>
      </c>
      <c r="H14" s="5"/>
      <c r="I14" s="4" t="s">
        <v>400</v>
      </c>
      <c r="J14" s="4">
        <v>0</v>
      </c>
      <c r="K14" s="5">
        <v>46391</v>
      </c>
      <c r="L14" s="4">
        <v>112</v>
      </c>
      <c r="M14" s="4" t="s">
        <v>451</v>
      </c>
    </row>
    <row r="15" spans="1:13" ht="20" customHeight="1">
      <c r="A15" s="4" t="s">
        <v>452</v>
      </c>
      <c r="B15" s="4" t="s">
        <v>453</v>
      </c>
      <c r="C15" s="4" t="s">
        <v>315</v>
      </c>
      <c r="D15" s="4" t="s">
        <v>454</v>
      </c>
      <c r="E15" s="4" t="s">
        <v>316</v>
      </c>
      <c r="F15" s="5">
        <v>46273</v>
      </c>
      <c r="G15" s="5">
        <v>46287</v>
      </c>
      <c r="H15" s="5"/>
      <c r="I15" s="4" t="s">
        <v>400</v>
      </c>
      <c r="J15" s="4">
        <v>0</v>
      </c>
      <c r="K15" s="5">
        <v>46391</v>
      </c>
      <c r="L15" s="4">
        <v>104</v>
      </c>
      <c r="M15" s="4"/>
    </row>
  </sheetData>
  <dataValidations count="1">
    <dataValidation type="list" sqref="I2:I15" xr:uid="{00000000-0002-0000-0500-000000000000}">
      <formula1>"Not Submitted,Submitted,Approved,Revise &amp; Resubmit"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/>
  </sheetViews>
  <sheetFormatPr baseColWidth="10" defaultColWidth="8.83203125" defaultRowHeight="15"/>
  <cols>
    <col min="1" max="1" width="7.5" customWidth="1"/>
    <col min="2" max="2" width="14.1640625" customWidth="1"/>
    <col min="3" max="3" width="34" customWidth="1"/>
    <col min="4" max="4" width="14.5" customWidth="1"/>
    <col min="5" max="5" width="16.6640625" customWidth="1"/>
    <col min="6" max="6" width="13.1640625" customWidth="1"/>
    <col min="7" max="7" width="14.6640625" customWidth="1"/>
    <col min="8" max="8" width="7.6640625" customWidth="1"/>
    <col min="9" max="9" width="10.1640625" customWidth="1"/>
    <col min="10" max="10" width="18.1640625" customWidth="1"/>
    <col min="11" max="11" width="16" customWidth="1"/>
    <col min="12" max="12" width="34" customWidth="1"/>
  </cols>
  <sheetData>
    <row r="1" spans="1:12" ht="20" customHeight="1">
      <c r="A1" s="3" t="s">
        <v>455</v>
      </c>
      <c r="B1" s="3" t="s">
        <v>456</v>
      </c>
      <c r="C1" s="3" t="s">
        <v>457</v>
      </c>
      <c r="D1" s="3" t="s">
        <v>458</v>
      </c>
      <c r="E1" s="3" t="s">
        <v>459</v>
      </c>
      <c r="F1" s="3" t="s">
        <v>460</v>
      </c>
      <c r="G1" s="3" t="s">
        <v>461</v>
      </c>
      <c r="H1" s="3" t="s">
        <v>79</v>
      </c>
      <c r="I1" s="3" t="s">
        <v>462</v>
      </c>
      <c r="J1" s="3" t="s">
        <v>328</v>
      </c>
      <c r="K1" s="3" t="s">
        <v>463</v>
      </c>
      <c r="L1" s="3" t="s">
        <v>82</v>
      </c>
    </row>
    <row r="2" spans="1:12" ht="20" customHeight="1">
      <c r="A2" s="4" t="s">
        <v>464</v>
      </c>
      <c r="B2" s="5">
        <v>46133</v>
      </c>
      <c r="C2" s="4" t="s">
        <v>465</v>
      </c>
      <c r="D2" s="4" t="s">
        <v>466</v>
      </c>
      <c r="E2" s="4" t="s">
        <v>467</v>
      </c>
      <c r="F2" s="7">
        <v>38000</v>
      </c>
      <c r="G2" s="7">
        <v>38000</v>
      </c>
      <c r="H2" s="4" t="s">
        <v>408</v>
      </c>
      <c r="I2" s="4" t="s">
        <v>260</v>
      </c>
      <c r="J2" s="4">
        <v>0</v>
      </c>
      <c r="K2" s="5">
        <v>46136</v>
      </c>
      <c r="L2" s="4" t="s">
        <v>468</v>
      </c>
    </row>
    <row r="3" spans="1:12" ht="20" customHeight="1">
      <c r="A3" s="4" t="s">
        <v>341</v>
      </c>
      <c r="B3" s="5">
        <v>46163</v>
      </c>
      <c r="C3" s="4" t="s">
        <v>469</v>
      </c>
      <c r="D3" s="4" t="s">
        <v>337</v>
      </c>
      <c r="E3" s="4" t="s">
        <v>470</v>
      </c>
      <c r="F3" s="7">
        <v>12500</v>
      </c>
      <c r="G3" s="7">
        <v>12500</v>
      </c>
      <c r="H3" s="4" t="s">
        <v>408</v>
      </c>
      <c r="I3" s="4" t="s">
        <v>232</v>
      </c>
      <c r="J3" s="4">
        <v>0</v>
      </c>
      <c r="K3" s="5">
        <v>46168</v>
      </c>
      <c r="L3" s="4"/>
    </row>
    <row r="4" spans="1:12" ht="20" customHeight="1">
      <c r="A4" s="4" t="s">
        <v>471</v>
      </c>
      <c r="B4" s="5">
        <v>46183</v>
      </c>
      <c r="C4" s="4" t="s">
        <v>472</v>
      </c>
      <c r="D4" s="4" t="s">
        <v>28</v>
      </c>
      <c r="E4" s="4" t="s">
        <v>473</v>
      </c>
      <c r="F4" s="7">
        <v>42000</v>
      </c>
      <c r="G4" s="7">
        <v>42000</v>
      </c>
      <c r="H4" s="4" t="s">
        <v>408</v>
      </c>
      <c r="I4" s="4" t="s">
        <v>255</v>
      </c>
      <c r="J4" s="4">
        <v>0</v>
      </c>
      <c r="K4" s="5">
        <v>46188</v>
      </c>
      <c r="L4" s="4"/>
    </row>
    <row r="5" spans="1:12" ht="20" customHeight="1">
      <c r="A5" s="4" t="s">
        <v>356</v>
      </c>
      <c r="B5" s="5">
        <v>46181</v>
      </c>
      <c r="C5" s="4" t="s">
        <v>474</v>
      </c>
      <c r="D5" s="4" t="s">
        <v>354</v>
      </c>
      <c r="E5" s="4" t="s">
        <v>475</v>
      </c>
      <c r="F5" s="7">
        <v>68500</v>
      </c>
      <c r="G5" s="7">
        <v>68500</v>
      </c>
      <c r="H5" s="4" t="s">
        <v>408</v>
      </c>
      <c r="I5" s="4" t="s">
        <v>228</v>
      </c>
      <c r="J5" s="4">
        <v>3</v>
      </c>
      <c r="K5" s="5">
        <v>46183</v>
      </c>
      <c r="L5" s="4"/>
    </row>
    <row r="6" spans="1:12" ht="20" customHeight="1">
      <c r="A6" s="4" t="s">
        <v>476</v>
      </c>
      <c r="B6" s="5">
        <v>46205</v>
      </c>
      <c r="C6" s="4" t="s">
        <v>477</v>
      </c>
      <c r="D6" s="4" t="s">
        <v>338</v>
      </c>
      <c r="E6" s="4" t="s">
        <v>478</v>
      </c>
      <c r="F6" s="7">
        <v>106000</v>
      </c>
      <c r="G6" s="7">
        <v>106000</v>
      </c>
      <c r="H6" s="4" t="s">
        <v>408</v>
      </c>
      <c r="I6" s="4" t="s">
        <v>235</v>
      </c>
      <c r="J6" s="4">
        <v>2</v>
      </c>
      <c r="K6" s="5">
        <v>46210</v>
      </c>
      <c r="L6" s="4"/>
    </row>
    <row r="7" spans="1:12" ht="20" customHeight="1">
      <c r="A7" s="4" t="s">
        <v>360</v>
      </c>
      <c r="B7" s="5">
        <v>46239</v>
      </c>
      <c r="C7" s="4" t="s">
        <v>479</v>
      </c>
      <c r="D7" s="4" t="s">
        <v>358</v>
      </c>
      <c r="E7" s="4" t="s">
        <v>478</v>
      </c>
      <c r="F7" s="7">
        <v>18000</v>
      </c>
      <c r="G7" s="7">
        <v>18000</v>
      </c>
      <c r="H7" s="4" t="s">
        <v>408</v>
      </c>
      <c r="I7" s="4" t="s">
        <v>241</v>
      </c>
      <c r="J7" s="4">
        <v>2</v>
      </c>
      <c r="K7" s="5">
        <v>46244</v>
      </c>
      <c r="L7" s="4"/>
    </row>
    <row r="8" spans="1:12" ht="20" customHeight="1">
      <c r="A8" s="4" t="s">
        <v>480</v>
      </c>
      <c r="B8" s="5">
        <v>46246</v>
      </c>
      <c r="C8" s="4" t="s">
        <v>481</v>
      </c>
      <c r="D8" s="4" t="s">
        <v>482</v>
      </c>
      <c r="E8" s="4" t="s">
        <v>473</v>
      </c>
      <c r="F8" s="7">
        <v>42000</v>
      </c>
      <c r="G8" s="7">
        <v>42000</v>
      </c>
      <c r="H8" s="4" t="s">
        <v>408</v>
      </c>
      <c r="I8" s="4" t="s">
        <v>249</v>
      </c>
      <c r="J8" s="4">
        <v>0</v>
      </c>
      <c r="K8" s="5">
        <v>46251</v>
      </c>
      <c r="L8" s="4"/>
    </row>
    <row r="9" spans="1:12" ht="20" customHeight="1">
      <c r="A9" s="4" t="s">
        <v>369</v>
      </c>
      <c r="B9" s="5">
        <v>46265</v>
      </c>
      <c r="C9" s="4" t="s">
        <v>483</v>
      </c>
      <c r="D9" s="4" t="s">
        <v>366</v>
      </c>
      <c r="E9" s="4" t="s">
        <v>478</v>
      </c>
      <c r="F9" s="7">
        <v>22500</v>
      </c>
      <c r="G9" s="7">
        <v>22500</v>
      </c>
      <c r="H9" s="4" t="s">
        <v>408</v>
      </c>
      <c r="I9" s="4" t="s">
        <v>255</v>
      </c>
      <c r="J9" s="4">
        <v>2</v>
      </c>
      <c r="K9" s="5">
        <v>46268</v>
      </c>
      <c r="L9" s="4"/>
    </row>
    <row r="10" spans="1:12" ht="20" customHeight="1">
      <c r="A10" s="4" t="s">
        <v>484</v>
      </c>
      <c r="B10" s="5">
        <v>46266</v>
      </c>
      <c r="C10" s="4" t="s">
        <v>485</v>
      </c>
      <c r="D10" s="4" t="s">
        <v>28</v>
      </c>
      <c r="E10" s="4" t="s">
        <v>486</v>
      </c>
      <c r="F10" s="7">
        <v>95000</v>
      </c>
      <c r="G10" s="7">
        <v>95000</v>
      </c>
      <c r="H10" s="4" t="s">
        <v>408</v>
      </c>
      <c r="I10" s="4" t="s">
        <v>241</v>
      </c>
      <c r="J10" s="4">
        <v>0</v>
      </c>
      <c r="K10" s="5">
        <v>46269</v>
      </c>
      <c r="L10" s="4"/>
    </row>
    <row r="11" spans="1:12" ht="20" customHeight="1">
      <c r="A11" s="4" t="s">
        <v>487</v>
      </c>
      <c r="B11" s="5">
        <v>46268</v>
      </c>
      <c r="C11" s="4" t="s">
        <v>488</v>
      </c>
      <c r="D11" s="4" t="s">
        <v>67</v>
      </c>
      <c r="E11" s="4" t="s">
        <v>489</v>
      </c>
      <c r="F11" s="7">
        <v>120000</v>
      </c>
      <c r="G11" s="7">
        <v>120000</v>
      </c>
      <c r="H11" s="4" t="s">
        <v>408</v>
      </c>
      <c r="I11" s="4" t="s">
        <v>252</v>
      </c>
      <c r="J11" s="4">
        <v>0</v>
      </c>
      <c r="K11" s="5">
        <v>46273</v>
      </c>
      <c r="L11" s="4"/>
    </row>
    <row r="12" spans="1:12" ht="20" customHeight="1">
      <c r="A12" s="4" t="s">
        <v>490</v>
      </c>
      <c r="B12" s="5">
        <v>46273</v>
      </c>
      <c r="C12" s="4" t="s">
        <v>491</v>
      </c>
      <c r="D12" s="4" t="s">
        <v>53</v>
      </c>
      <c r="E12" s="4" t="s">
        <v>492</v>
      </c>
      <c r="F12" s="7">
        <v>65000</v>
      </c>
      <c r="G12" s="7">
        <v>0</v>
      </c>
      <c r="H12" s="4" t="s">
        <v>493</v>
      </c>
      <c r="I12" s="4" t="s">
        <v>255</v>
      </c>
      <c r="J12" s="4">
        <v>-4</v>
      </c>
      <c r="K12" s="5">
        <v>46280</v>
      </c>
      <c r="L12" s="4" t="s">
        <v>494</v>
      </c>
    </row>
    <row r="13" spans="1:12" ht="20" customHeight="1">
      <c r="A13" s="4" t="s">
        <v>386</v>
      </c>
      <c r="B13" s="5">
        <v>46273</v>
      </c>
      <c r="C13" s="4" t="s">
        <v>495</v>
      </c>
      <c r="D13" s="4" t="s">
        <v>28</v>
      </c>
      <c r="E13" s="4" t="s">
        <v>496</v>
      </c>
      <c r="F13" s="7">
        <v>18000</v>
      </c>
      <c r="G13" s="7">
        <v>0</v>
      </c>
      <c r="H13" s="4" t="s">
        <v>497</v>
      </c>
      <c r="I13" s="4" t="s">
        <v>255</v>
      </c>
      <c r="J13" s="4">
        <v>0</v>
      </c>
      <c r="K13" s="5">
        <v>46283</v>
      </c>
      <c r="L13" s="4" t="s">
        <v>498</v>
      </c>
    </row>
  </sheetData>
  <dataValidations count="1">
    <dataValidation type="list" sqref="H2:H13" xr:uid="{00000000-0002-0000-0600-000000000000}">
      <formula1>"Potential,Pricing,Approved,Rejected"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/>
  </sheetViews>
  <sheetFormatPr baseColWidth="10" defaultColWidth="8.83203125" defaultRowHeight="15"/>
  <cols>
    <col min="1" max="1" width="5.6640625" customWidth="1"/>
    <col min="2" max="2" width="10.1640625" customWidth="1"/>
    <col min="3" max="3" width="40" customWidth="1"/>
    <col min="4" max="4" width="12.83203125" customWidth="1"/>
    <col min="5" max="5" width="9.6640625" customWidth="1"/>
    <col min="6" max="6" width="4.6640625" customWidth="1"/>
    <col min="7" max="7" width="6.83203125" customWidth="1"/>
    <col min="8" max="8" width="30.6640625" customWidth="1"/>
    <col min="9" max="9" width="42" customWidth="1"/>
    <col min="10" max="10" width="13.1640625" customWidth="1"/>
    <col min="11" max="11" width="11" customWidth="1"/>
    <col min="12" max="12" width="5.1640625" customWidth="1"/>
    <col min="13" max="13" width="11.6640625" customWidth="1"/>
  </cols>
  <sheetData>
    <row r="1" spans="1:13" ht="20" customHeight="1">
      <c r="A1" s="3" t="s">
        <v>499</v>
      </c>
      <c r="B1" s="3" t="s">
        <v>500</v>
      </c>
      <c r="C1" s="3" t="s">
        <v>501</v>
      </c>
      <c r="D1" s="3" t="s">
        <v>502</v>
      </c>
      <c r="E1" s="3" t="s">
        <v>503</v>
      </c>
      <c r="F1" s="3" t="s">
        <v>504</v>
      </c>
      <c r="G1" s="3" t="s">
        <v>505</v>
      </c>
      <c r="H1" s="3" t="s">
        <v>506</v>
      </c>
      <c r="I1" s="3" t="s">
        <v>507</v>
      </c>
      <c r="J1" s="3" t="s">
        <v>28</v>
      </c>
      <c r="K1" s="3" t="s">
        <v>508</v>
      </c>
      <c r="L1" s="3" t="s">
        <v>79</v>
      </c>
      <c r="M1" s="3" t="s">
        <v>509</v>
      </c>
    </row>
    <row r="2" spans="1:13" ht="20" customHeight="1">
      <c r="A2" s="4" t="s">
        <v>510</v>
      </c>
      <c r="B2" s="4" t="s">
        <v>30</v>
      </c>
      <c r="C2" s="4" t="s">
        <v>511</v>
      </c>
      <c r="D2" s="4">
        <v>3</v>
      </c>
      <c r="E2" s="4">
        <v>5</v>
      </c>
      <c r="F2" s="4">
        <f t="shared" ref="F2:F9" si="0">D2*E2</f>
        <v>15</v>
      </c>
      <c r="G2" s="4" t="str">
        <f t="shared" ref="G2:G9" si="1">IF(F2&gt;=20,"Critical",IF(F2&gt;=12,"High",IF(F2&gt;=6,"Medium","Low")))</f>
        <v>High</v>
      </c>
      <c r="H2" s="4" t="s">
        <v>512</v>
      </c>
      <c r="I2" s="4" t="s">
        <v>513</v>
      </c>
      <c r="J2" s="4" t="s">
        <v>86</v>
      </c>
      <c r="K2" s="5">
        <v>46295</v>
      </c>
      <c r="L2" s="4" t="s">
        <v>385</v>
      </c>
      <c r="M2" s="4">
        <v>8</v>
      </c>
    </row>
    <row r="3" spans="1:13" ht="20" customHeight="1">
      <c r="A3" s="4" t="s">
        <v>514</v>
      </c>
      <c r="B3" s="4" t="s">
        <v>30</v>
      </c>
      <c r="C3" s="4" t="s">
        <v>515</v>
      </c>
      <c r="D3" s="4">
        <v>3</v>
      </c>
      <c r="E3" s="4">
        <v>5</v>
      </c>
      <c r="F3" s="4">
        <f t="shared" si="0"/>
        <v>15</v>
      </c>
      <c r="G3" s="4" t="str">
        <f t="shared" si="1"/>
        <v>High</v>
      </c>
      <c r="H3" s="4" t="s">
        <v>516</v>
      </c>
      <c r="I3" s="4" t="s">
        <v>517</v>
      </c>
      <c r="J3" s="4" t="s">
        <v>108</v>
      </c>
      <c r="K3" s="5">
        <v>46294</v>
      </c>
      <c r="L3" s="4" t="s">
        <v>385</v>
      </c>
      <c r="M3" s="4">
        <v>9</v>
      </c>
    </row>
    <row r="4" spans="1:13" ht="20" customHeight="1">
      <c r="A4" s="4" t="s">
        <v>518</v>
      </c>
      <c r="B4" s="4" t="s">
        <v>39</v>
      </c>
      <c r="C4" s="4" t="s">
        <v>519</v>
      </c>
      <c r="D4" s="4">
        <v>4</v>
      </c>
      <c r="E4" s="4">
        <v>4</v>
      </c>
      <c r="F4" s="4">
        <f t="shared" si="0"/>
        <v>16</v>
      </c>
      <c r="G4" s="4" t="str">
        <f t="shared" si="1"/>
        <v>High</v>
      </c>
      <c r="H4" s="4" t="s">
        <v>520</v>
      </c>
      <c r="I4" s="4" t="s">
        <v>521</v>
      </c>
      <c r="J4" s="4" t="s">
        <v>86</v>
      </c>
      <c r="K4" s="5">
        <v>46296</v>
      </c>
      <c r="L4" s="4" t="s">
        <v>385</v>
      </c>
      <c r="M4" s="4">
        <v>8</v>
      </c>
    </row>
    <row r="5" spans="1:13" ht="20" customHeight="1">
      <c r="A5" s="4" t="s">
        <v>522</v>
      </c>
      <c r="B5" s="4" t="s">
        <v>61</v>
      </c>
      <c r="C5" s="4" t="s">
        <v>523</v>
      </c>
      <c r="D5" s="4">
        <v>2</v>
      </c>
      <c r="E5" s="4">
        <v>5</v>
      </c>
      <c r="F5" s="4">
        <f t="shared" si="0"/>
        <v>10</v>
      </c>
      <c r="G5" s="4" t="str">
        <f t="shared" si="1"/>
        <v>Medium</v>
      </c>
      <c r="H5" s="4" t="s">
        <v>524</v>
      </c>
      <c r="I5" s="4" t="s">
        <v>525</v>
      </c>
      <c r="J5" s="4" t="s">
        <v>526</v>
      </c>
      <c r="K5" s="5">
        <v>46297</v>
      </c>
      <c r="L5" s="4" t="s">
        <v>385</v>
      </c>
      <c r="M5" s="4">
        <v>4</v>
      </c>
    </row>
    <row r="6" spans="1:13" ht="20" customHeight="1">
      <c r="A6" s="4" t="s">
        <v>527</v>
      </c>
      <c r="B6" s="4" t="s">
        <v>55</v>
      </c>
      <c r="C6" s="4" t="s">
        <v>528</v>
      </c>
      <c r="D6" s="4">
        <v>2</v>
      </c>
      <c r="E6" s="4">
        <v>5</v>
      </c>
      <c r="F6" s="4">
        <f t="shared" si="0"/>
        <v>10</v>
      </c>
      <c r="G6" s="4" t="str">
        <f t="shared" si="1"/>
        <v>Medium</v>
      </c>
      <c r="H6" s="4" t="s">
        <v>529</v>
      </c>
      <c r="I6" s="4" t="s">
        <v>530</v>
      </c>
      <c r="J6" s="4" t="s">
        <v>531</v>
      </c>
      <c r="K6" s="5">
        <v>46290</v>
      </c>
      <c r="L6" s="4" t="s">
        <v>385</v>
      </c>
      <c r="M6" s="4">
        <v>4</v>
      </c>
    </row>
    <row r="7" spans="1:13" ht="20" customHeight="1">
      <c r="A7" s="4" t="s">
        <v>532</v>
      </c>
      <c r="B7" s="4" t="s">
        <v>533</v>
      </c>
      <c r="C7" s="4" t="s">
        <v>534</v>
      </c>
      <c r="D7" s="4">
        <v>3</v>
      </c>
      <c r="E7" s="4">
        <v>4</v>
      </c>
      <c r="F7" s="4">
        <f t="shared" si="0"/>
        <v>12</v>
      </c>
      <c r="G7" s="4" t="str">
        <f t="shared" si="1"/>
        <v>High</v>
      </c>
      <c r="H7" s="4" t="s">
        <v>535</v>
      </c>
      <c r="I7" s="4" t="s">
        <v>536</v>
      </c>
      <c r="J7" s="4" t="s">
        <v>537</v>
      </c>
      <c r="K7" s="5">
        <v>46283</v>
      </c>
      <c r="L7" s="4" t="s">
        <v>385</v>
      </c>
      <c r="M7" s="4">
        <v>6</v>
      </c>
    </row>
    <row r="8" spans="1:13" ht="20" customHeight="1">
      <c r="A8" s="4" t="s">
        <v>538</v>
      </c>
      <c r="B8" s="4" t="s">
        <v>539</v>
      </c>
      <c r="C8" s="4" t="s">
        <v>540</v>
      </c>
      <c r="D8" s="4">
        <v>3</v>
      </c>
      <c r="E8" s="4">
        <v>4</v>
      </c>
      <c r="F8" s="4">
        <f t="shared" si="0"/>
        <v>12</v>
      </c>
      <c r="G8" s="4" t="str">
        <f t="shared" si="1"/>
        <v>High</v>
      </c>
      <c r="H8" s="4" t="s">
        <v>541</v>
      </c>
      <c r="I8" s="4" t="s">
        <v>542</v>
      </c>
      <c r="J8" s="4" t="s">
        <v>86</v>
      </c>
      <c r="K8" s="5">
        <v>46290</v>
      </c>
      <c r="L8" s="4" t="s">
        <v>385</v>
      </c>
      <c r="M8" s="4">
        <v>6</v>
      </c>
    </row>
    <row r="9" spans="1:13" ht="20" customHeight="1">
      <c r="A9" s="4" t="s">
        <v>543</v>
      </c>
      <c r="B9" s="4" t="s">
        <v>204</v>
      </c>
      <c r="C9" s="4" t="s">
        <v>544</v>
      </c>
      <c r="D9" s="4">
        <v>2</v>
      </c>
      <c r="E9" s="4">
        <v>4</v>
      </c>
      <c r="F9" s="4">
        <f t="shared" si="0"/>
        <v>8</v>
      </c>
      <c r="G9" s="4" t="str">
        <f t="shared" si="1"/>
        <v>Medium</v>
      </c>
      <c r="H9" s="4" t="s">
        <v>545</v>
      </c>
      <c r="I9" s="4" t="s">
        <v>546</v>
      </c>
      <c r="J9" s="4" t="s">
        <v>547</v>
      </c>
      <c r="K9" s="5">
        <v>46402</v>
      </c>
      <c r="L9" s="4" t="s">
        <v>385</v>
      </c>
      <c r="M9" s="4">
        <v>3</v>
      </c>
    </row>
  </sheetData>
  <conditionalFormatting sqref="F2:F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>
      <selection activeCell="L4" sqref="L4"/>
    </sheetView>
  </sheetViews>
  <sheetFormatPr baseColWidth="10" defaultColWidth="8.83203125" defaultRowHeight="15"/>
  <cols>
    <col min="1" max="1" width="6.5" customWidth="1"/>
    <col min="2" max="2" width="10.6640625" customWidth="1"/>
    <col min="3" max="3" width="36" customWidth="1"/>
    <col min="4" max="4" width="27.5" customWidth="1"/>
    <col min="5" max="5" width="13.1640625" customWidth="1"/>
    <col min="6" max="6" width="6.83203125" customWidth="1"/>
    <col min="7" max="7" width="11" customWidth="1"/>
    <col min="8" max="8" width="8.6640625" customWidth="1"/>
    <col min="9" max="9" width="40" customWidth="1"/>
    <col min="10" max="10" width="11.33203125" customWidth="1"/>
  </cols>
  <sheetData>
    <row r="1" spans="1:10" ht="20" customHeight="1">
      <c r="A1" s="3" t="s">
        <v>548</v>
      </c>
      <c r="B1" s="3" t="s">
        <v>549</v>
      </c>
      <c r="C1" s="3" t="s">
        <v>550</v>
      </c>
      <c r="D1" s="3" t="s">
        <v>551</v>
      </c>
      <c r="E1" s="3" t="s">
        <v>28</v>
      </c>
      <c r="F1" s="3" t="s">
        <v>552</v>
      </c>
      <c r="G1" s="3" t="s">
        <v>326</v>
      </c>
      <c r="H1" s="3" t="s">
        <v>79</v>
      </c>
      <c r="I1" s="3" t="s">
        <v>553</v>
      </c>
      <c r="J1" s="3" t="s">
        <v>554</v>
      </c>
    </row>
    <row r="2" spans="1:10" ht="20" customHeight="1">
      <c r="A2" s="4" t="s">
        <v>555</v>
      </c>
      <c r="B2" s="5">
        <v>46258</v>
      </c>
      <c r="C2" s="4" t="s">
        <v>556</v>
      </c>
      <c r="D2" s="4" t="s">
        <v>557</v>
      </c>
      <c r="E2" s="4" t="s">
        <v>108</v>
      </c>
      <c r="F2" s="4" t="s">
        <v>46</v>
      </c>
      <c r="G2" s="5">
        <v>46267</v>
      </c>
      <c r="H2" s="4" t="s">
        <v>87</v>
      </c>
      <c r="I2" s="4" t="s">
        <v>558</v>
      </c>
      <c r="J2" s="5">
        <v>46267</v>
      </c>
    </row>
    <row r="3" spans="1:10" ht="20" customHeight="1">
      <c r="A3" s="4" t="s">
        <v>559</v>
      </c>
      <c r="B3" s="5">
        <v>46266</v>
      </c>
      <c r="C3" s="4" t="s">
        <v>560</v>
      </c>
      <c r="D3" s="4" t="s">
        <v>561</v>
      </c>
      <c r="E3" s="4" t="s">
        <v>108</v>
      </c>
      <c r="F3" s="4" t="s">
        <v>46</v>
      </c>
      <c r="G3" s="5">
        <v>46281</v>
      </c>
      <c r="H3" s="4" t="s">
        <v>139</v>
      </c>
      <c r="I3" s="4" t="s">
        <v>562</v>
      </c>
      <c r="J3" s="5"/>
    </row>
    <row r="4" spans="1:10" ht="20" customHeight="1">
      <c r="A4" s="4" t="s">
        <v>563</v>
      </c>
      <c r="B4" s="5">
        <v>46269</v>
      </c>
      <c r="C4" s="4" t="s">
        <v>564</v>
      </c>
      <c r="D4" s="4" t="s">
        <v>565</v>
      </c>
      <c r="E4" s="4" t="s">
        <v>566</v>
      </c>
      <c r="F4" s="4" t="s">
        <v>54</v>
      </c>
      <c r="G4" s="5">
        <v>46283</v>
      </c>
      <c r="H4" s="4" t="s">
        <v>385</v>
      </c>
      <c r="I4" s="4" t="s">
        <v>567</v>
      </c>
      <c r="J4" s="5"/>
    </row>
    <row r="5" spans="1:10" ht="20" customHeight="1">
      <c r="A5" s="4" t="s">
        <v>568</v>
      </c>
      <c r="B5" s="5">
        <v>46274</v>
      </c>
      <c r="C5" s="4" t="s">
        <v>569</v>
      </c>
      <c r="D5" s="4" t="s">
        <v>570</v>
      </c>
      <c r="E5" s="4" t="s">
        <v>537</v>
      </c>
      <c r="F5" s="4" t="s">
        <v>46</v>
      </c>
      <c r="G5" s="5">
        <v>46279</v>
      </c>
      <c r="H5" s="4" t="s">
        <v>139</v>
      </c>
      <c r="I5" s="4" t="s">
        <v>571</v>
      </c>
      <c r="J5" s="5"/>
    </row>
    <row r="6" spans="1:10" ht="20" customHeight="1">
      <c r="A6" s="4" t="s">
        <v>572</v>
      </c>
      <c r="B6" s="5">
        <v>46275</v>
      </c>
      <c r="C6" s="4" t="s">
        <v>573</v>
      </c>
      <c r="D6" s="4" t="s">
        <v>574</v>
      </c>
      <c r="E6" s="4" t="s">
        <v>86</v>
      </c>
      <c r="F6" s="4" t="s">
        <v>46</v>
      </c>
      <c r="G6" s="5">
        <v>46280</v>
      </c>
      <c r="H6" s="4" t="s">
        <v>385</v>
      </c>
      <c r="I6" s="4" t="s">
        <v>575</v>
      </c>
      <c r="J6" s="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/>
  </sheetViews>
  <sheetFormatPr baseColWidth="10" defaultColWidth="8.83203125" defaultRowHeight="15"/>
  <cols>
    <col min="1" max="1" width="12.1640625" customWidth="1"/>
    <col min="2" max="2" width="9.6640625" customWidth="1"/>
    <col min="3" max="3" width="12.1640625" customWidth="1"/>
    <col min="4" max="8" width="28" customWidth="1"/>
    <col min="9" max="9" width="8.6640625" customWidth="1"/>
    <col min="10" max="10" width="10" customWidth="1"/>
  </cols>
  <sheetData>
    <row r="1" spans="1:10" ht="20" customHeight="1">
      <c r="A1" s="3" t="s">
        <v>456</v>
      </c>
      <c r="B1" s="3" t="s">
        <v>576</v>
      </c>
      <c r="C1" s="3" t="s">
        <v>577</v>
      </c>
      <c r="D1" s="3" t="s">
        <v>398</v>
      </c>
      <c r="E1" s="3" t="s">
        <v>578</v>
      </c>
      <c r="F1" s="3" t="s">
        <v>579</v>
      </c>
      <c r="G1" s="3" t="s">
        <v>580</v>
      </c>
      <c r="H1" s="3" t="s">
        <v>581</v>
      </c>
      <c r="I1" s="3" t="s">
        <v>79</v>
      </c>
      <c r="J1" s="3" t="s">
        <v>582</v>
      </c>
    </row>
    <row r="2" spans="1:10" ht="20" customHeight="1">
      <c r="A2" s="5">
        <v>46132</v>
      </c>
      <c r="B2" s="4" t="s">
        <v>583</v>
      </c>
      <c r="C2" s="4" t="s">
        <v>584</v>
      </c>
      <c r="D2" s="4" t="s">
        <v>585</v>
      </c>
      <c r="E2" s="4" t="s">
        <v>54</v>
      </c>
      <c r="F2" s="4" t="s">
        <v>114</v>
      </c>
      <c r="G2" s="4" t="s">
        <v>586</v>
      </c>
      <c r="H2" s="4" t="s">
        <v>587</v>
      </c>
      <c r="I2" s="4" t="s">
        <v>283</v>
      </c>
      <c r="J2" s="4" t="s">
        <v>88</v>
      </c>
    </row>
    <row r="3" spans="1:10" ht="20" customHeight="1">
      <c r="A3" s="5">
        <v>46156</v>
      </c>
      <c r="B3" s="4" t="s">
        <v>588</v>
      </c>
      <c r="C3" s="4" t="s">
        <v>589</v>
      </c>
      <c r="D3" s="4" t="s">
        <v>590</v>
      </c>
      <c r="E3" s="4" t="s">
        <v>46</v>
      </c>
      <c r="F3" s="4" t="s">
        <v>114</v>
      </c>
      <c r="G3" s="4" t="s">
        <v>591</v>
      </c>
      <c r="H3" s="4" t="s">
        <v>592</v>
      </c>
      <c r="I3" s="4" t="s">
        <v>283</v>
      </c>
      <c r="J3" s="4" t="s">
        <v>88</v>
      </c>
    </row>
    <row r="4" spans="1:10" ht="20" customHeight="1">
      <c r="A4" s="5">
        <v>46191</v>
      </c>
      <c r="B4" s="4" t="s">
        <v>583</v>
      </c>
      <c r="C4" s="4" t="s">
        <v>593</v>
      </c>
      <c r="D4" s="4" t="s">
        <v>594</v>
      </c>
      <c r="E4" s="4" t="s">
        <v>38</v>
      </c>
      <c r="F4" s="4" t="s">
        <v>122</v>
      </c>
      <c r="G4" s="4" t="s">
        <v>595</v>
      </c>
      <c r="H4" s="4" t="s">
        <v>596</v>
      </c>
      <c r="I4" s="4" t="s">
        <v>283</v>
      </c>
      <c r="J4" s="4" t="s">
        <v>88</v>
      </c>
    </row>
    <row r="5" spans="1:10" ht="20" customHeight="1">
      <c r="A5" s="5">
        <v>46232</v>
      </c>
      <c r="B5" s="4" t="s">
        <v>588</v>
      </c>
      <c r="C5" s="4" t="s">
        <v>597</v>
      </c>
      <c r="D5" s="4" t="s">
        <v>598</v>
      </c>
      <c r="E5" s="4" t="s">
        <v>46</v>
      </c>
      <c r="F5" s="4" t="s">
        <v>130</v>
      </c>
      <c r="G5" s="4" t="s">
        <v>599</v>
      </c>
      <c r="H5" s="4" t="s">
        <v>600</v>
      </c>
      <c r="I5" s="4" t="s">
        <v>283</v>
      </c>
      <c r="J5" s="4" t="s">
        <v>88</v>
      </c>
    </row>
    <row r="6" spans="1:10" ht="20" customHeight="1">
      <c r="A6" s="5">
        <v>46246</v>
      </c>
      <c r="B6" s="4" t="s">
        <v>583</v>
      </c>
      <c r="C6" s="4" t="s">
        <v>601</v>
      </c>
      <c r="D6" s="4" t="s">
        <v>602</v>
      </c>
      <c r="E6" s="4" t="s">
        <v>603</v>
      </c>
      <c r="F6" s="4" t="s">
        <v>130</v>
      </c>
      <c r="G6" s="4" t="s">
        <v>604</v>
      </c>
      <c r="H6" s="4" t="s">
        <v>605</v>
      </c>
      <c r="I6" s="4" t="s">
        <v>283</v>
      </c>
      <c r="J6" s="4" t="s">
        <v>88</v>
      </c>
    </row>
    <row r="7" spans="1:10" ht="20" customHeight="1">
      <c r="A7" s="5">
        <v>46261</v>
      </c>
      <c r="B7" s="4" t="s">
        <v>583</v>
      </c>
      <c r="C7" s="4" t="s">
        <v>606</v>
      </c>
      <c r="D7" s="4" t="s">
        <v>607</v>
      </c>
      <c r="E7" s="4" t="s">
        <v>54</v>
      </c>
      <c r="F7" s="4" t="s">
        <v>608</v>
      </c>
      <c r="G7" s="4" t="s">
        <v>609</v>
      </c>
      <c r="H7" s="4" t="s">
        <v>610</v>
      </c>
      <c r="I7" s="4" t="s">
        <v>283</v>
      </c>
      <c r="J7" s="4" t="s">
        <v>88</v>
      </c>
    </row>
    <row r="8" spans="1:10" ht="20" customHeight="1">
      <c r="A8" s="5">
        <v>46273</v>
      </c>
      <c r="B8" s="4" t="s">
        <v>611</v>
      </c>
      <c r="C8" s="4" t="s">
        <v>612</v>
      </c>
      <c r="D8" s="4" t="s">
        <v>613</v>
      </c>
      <c r="E8" s="4" t="s">
        <v>38</v>
      </c>
      <c r="F8" s="4" t="s">
        <v>171</v>
      </c>
      <c r="G8" s="4" t="s">
        <v>614</v>
      </c>
      <c r="H8" s="4" t="s">
        <v>615</v>
      </c>
      <c r="I8" s="4" t="s">
        <v>283</v>
      </c>
      <c r="J8" s="4" t="s">
        <v>88</v>
      </c>
    </row>
    <row r="9" spans="1:10" ht="20" customHeight="1">
      <c r="A9" s="5">
        <v>46275</v>
      </c>
      <c r="B9" s="4" t="s">
        <v>583</v>
      </c>
      <c r="C9" s="4" t="s">
        <v>616</v>
      </c>
      <c r="D9" s="4" t="s">
        <v>617</v>
      </c>
      <c r="E9" s="4" t="s">
        <v>46</v>
      </c>
      <c r="F9" s="4" t="s">
        <v>144</v>
      </c>
      <c r="G9" s="4" t="s">
        <v>618</v>
      </c>
      <c r="H9" s="4" t="s">
        <v>619</v>
      </c>
      <c r="I9" s="4" t="s">
        <v>139</v>
      </c>
      <c r="J9" s="4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"/>
  <sheetViews>
    <sheetView workbookViewId="0"/>
  </sheetViews>
  <sheetFormatPr baseColWidth="10" defaultColWidth="8.83203125" defaultRowHeight="15"/>
  <cols>
    <col min="1" max="1" width="6.1640625" customWidth="1"/>
    <col min="2" max="2" width="13.1640625" customWidth="1"/>
    <col min="3" max="3" width="12.1640625" customWidth="1"/>
    <col min="4" max="7" width="28" customWidth="1"/>
    <col min="8" max="8" width="14.1640625" customWidth="1"/>
    <col min="9" max="9" width="13.1640625" customWidth="1"/>
    <col min="10" max="10" width="7.83203125" customWidth="1"/>
    <col min="11" max="11" width="22.33203125" customWidth="1"/>
  </cols>
  <sheetData>
    <row r="1" spans="1:11" ht="20" customHeight="1">
      <c r="A1" s="3" t="s">
        <v>620</v>
      </c>
      <c r="B1" s="3" t="s">
        <v>456</v>
      </c>
      <c r="C1" s="3" t="s">
        <v>621</v>
      </c>
      <c r="D1" s="3" t="s">
        <v>622</v>
      </c>
      <c r="E1" s="3" t="s">
        <v>623</v>
      </c>
      <c r="F1" s="3" t="s">
        <v>624</v>
      </c>
      <c r="G1" s="3" t="s">
        <v>625</v>
      </c>
      <c r="H1" s="3" t="s">
        <v>579</v>
      </c>
      <c r="I1" s="3" t="s">
        <v>326</v>
      </c>
      <c r="J1" s="3" t="s">
        <v>79</v>
      </c>
      <c r="K1" s="3" t="s">
        <v>626</v>
      </c>
    </row>
    <row r="2" spans="1:11" ht="20" customHeight="1">
      <c r="A2" s="4" t="s">
        <v>627</v>
      </c>
      <c r="B2" s="5">
        <v>46170</v>
      </c>
      <c r="C2" s="4" t="s">
        <v>120</v>
      </c>
      <c r="D2" s="4" t="s">
        <v>628</v>
      </c>
      <c r="E2" s="4" t="s">
        <v>629</v>
      </c>
      <c r="F2" s="4" t="s">
        <v>630</v>
      </c>
      <c r="G2" s="4"/>
      <c r="H2" s="4" t="s">
        <v>122</v>
      </c>
      <c r="I2" s="5">
        <v>46170</v>
      </c>
      <c r="J2" s="4" t="s">
        <v>631</v>
      </c>
      <c r="K2" s="4" t="s">
        <v>632</v>
      </c>
    </row>
    <row r="3" spans="1:11" ht="20" customHeight="1">
      <c r="A3" s="4" t="s">
        <v>633</v>
      </c>
      <c r="B3" s="5">
        <v>46197</v>
      </c>
      <c r="C3" s="4" t="s">
        <v>120</v>
      </c>
      <c r="D3" s="4" t="s">
        <v>634</v>
      </c>
      <c r="E3" s="4" t="s">
        <v>635</v>
      </c>
      <c r="F3" s="4" t="s">
        <v>630</v>
      </c>
      <c r="G3" s="4"/>
      <c r="H3" s="4" t="s">
        <v>122</v>
      </c>
      <c r="I3" s="5">
        <v>46218</v>
      </c>
      <c r="J3" s="4" t="s">
        <v>631</v>
      </c>
      <c r="K3" s="4" t="s">
        <v>636</v>
      </c>
    </row>
    <row r="4" spans="1:11" ht="20" customHeight="1">
      <c r="A4" s="4" t="s">
        <v>637</v>
      </c>
      <c r="B4" s="5">
        <v>46218</v>
      </c>
      <c r="C4" s="4" t="s">
        <v>638</v>
      </c>
      <c r="D4" s="4" t="s">
        <v>639</v>
      </c>
      <c r="E4" s="4" t="s">
        <v>640</v>
      </c>
      <c r="F4" s="4" t="s">
        <v>630</v>
      </c>
      <c r="G4" s="4"/>
      <c r="H4" s="4" t="s">
        <v>122</v>
      </c>
      <c r="I4" s="5">
        <v>46220</v>
      </c>
      <c r="J4" s="4" t="s">
        <v>631</v>
      </c>
      <c r="K4" s="4" t="s">
        <v>641</v>
      </c>
    </row>
    <row r="5" spans="1:11" ht="20" customHeight="1">
      <c r="A5" s="4" t="s">
        <v>642</v>
      </c>
      <c r="B5" s="5">
        <v>46238</v>
      </c>
      <c r="C5" s="4" t="s">
        <v>643</v>
      </c>
      <c r="D5" s="4" t="s">
        <v>644</v>
      </c>
      <c r="E5" s="4" t="s">
        <v>645</v>
      </c>
      <c r="F5" s="4" t="s">
        <v>630</v>
      </c>
      <c r="G5" s="4"/>
      <c r="H5" s="4" t="s">
        <v>130</v>
      </c>
      <c r="I5" s="5">
        <v>46238</v>
      </c>
      <c r="J5" s="4" t="s">
        <v>631</v>
      </c>
      <c r="K5" s="4" t="s">
        <v>646</v>
      </c>
    </row>
    <row r="6" spans="1:11" ht="20" customHeight="1">
      <c r="A6" s="4" t="s">
        <v>647</v>
      </c>
      <c r="B6" s="5">
        <v>46259</v>
      </c>
      <c r="C6" s="4" t="s">
        <v>142</v>
      </c>
      <c r="D6" s="4" t="s">
        <v>648</v>
      </c>
      <c r="E6" s="4" t="s">
        <v>649</v>
      </c>
      <c r="F6" s="4" t="s">
        <v>650</v>
      </c>
      <c r="G6" s="4" t="s">
        <v>651</v>
      </c>
      <c r="H6" s="4" t="s">
        <v>144</v>
      </c>
      <c r="I6" s="5">
        <v>46262</v>
      </c>
      <c r="J6" s="4" t="s">
        <v>652</v>
      </c>
      <c r="K6" s="4" t="s">
        <v>653</v>
      </c>
    </row>
    <row r="7" spans="1:11" ht="20" customHeight="1">
      <c r="A7" s="4" t="s">
        <v>654</v>
      </c>
      <c r="B7" s="5">
        <v>46267</v>
      </c>
      <c r="C7" s="4" t="s">
        <v>655</v>
      </c>
      <c r="D7" s="4" t="s">
        <v>656</v>
      </c>
      <c r="E7" s="4" t="s">
        <v>657</v>
      </c>
      <c r="F7" s="4" t="s">
        <v>630</v>
      </c>
      <c r="G7" s="4"/>
      <c r="H7" s="4" t="s">
        <v>148</v>
      </c>
      <c r="I7" s="5">
        <v>46267</v>
      </c>
      <c r="J7" s="4" t="s">
        <v>631</v>
      </c>
      <c r="K7" s="4"/>
    </row>
    <row r="8" spans="1:11" ht="20" customHeight="1">
      <c r="A8" s="4" t="s">
        <v>658</v>
      </c>
      <c r="B8" s="5">
        <v>46274</v>
      </c>
      <c r="C8" s="4" t="s">
        <v>659</v>
      </c>
      <c r="D8" s="4" t="s">
        <v>660</v>
      </c>
      <c r="E8" s="4" t="s">
        <v>661</v>
      </c>
      <c r="F8" s="4" t="s">
        <v>650</v>
      </c>
      <c r="G8" s="4" t="s">
        <v>662</v>
      </c>
      <c r="H8" s="4" t="s">
        <v>156</v>
      </c>
      <c r="I8" s="5">
        <v>46279</v>
      </c>
      <c r="J8" s="4" t="s">
        <v>385</v>
      </c>
      <c r="K8" s="4" t="s">
        <v>663</v>
      </c>
    </row>
    <row r="9" spans="1:11" ht="20" customHeight="1">
      <c r="A9" s="4" t="s">
        <v>664</v>
      </c>
      <c r="B9" s="5">
        <v>46275</v>
      </c>
      <c r="C9" s="4" t="s">
        <v>665</v>
      </c>
      <c r="D9" s="4" t="s">
        <v>666</v>
      </c>
      <c r="E9" s="4" t="s">
        <v>667</v>
      </c>
      <c r="F9" s="4" t="s">
        <v>630</v>
      </c>
      <c r="G9" s="4"/>
      <c r="H9" s="4" t="s">
        <v>144</v>
      </c>
      <c r="I9" s="5">
        <v>46275</v>
      </c>
      <c r="J9" s="4" t="s">
        <v>631</v>
      </c>
      <c r="K9" s="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/>
  </sheetViews>
  <sheetFormatPr baseColWidth="10" defaultColWidth="8.83203125" defaultRowHeight="15"/>
  <cols>
    <col min="1" max="1" width="19.1640625" customWidth="1"/>
    <col min="2" max="2" width="15.1640625" customWidth="1"/>
    <col min="3" max="3" width="7.6640625" customWidth="1"/>
    <col min="4" max="4" width="6.83203125" customWidth="1"/>
    <col min="5" max="5" width="38" customWidth="1"/>
    <col min="6" max="6" width="15.33203125" customWidth="1"/>
    <col min="7" max="7" width="18.5" customWidth="1"/>
    <col min="8" max="8" width="13.1640625" customWidth="1"/>
    <col min="9" max="9" width="34" customWidth="1"/>
  </cols>
  <sheetData>
    <row r="1" spans="1:9" ht="20" customHeight="1">
      <c r="A1" s="3" t="s">
        <v>539</v>
      </c>
      <c r="B1" s="3" t="s">
        <v>668</v>
      </c>
      <c r="C1" s="3" t="s">
        <v>669</v>
      </c>
      <c r="D1" s="3" t="s">
        <v>670</v>
      </c>
      <c r="E1" s="3" t="s">
        <v>671</v>
      </c>
      <c r="F1" s="3" t="s">
        <v>672</v>
      </c>
      <c r="G1" s="3" t="s">
        <v>673</v>
      </c>
      <c r="H1" s="3" t="s">
        <v>28</v>
      </c>
      <c r="I1" s="3" t="s">
        <v>674</v>
      </c>
    </row>
    <row r="2" spans="1:9" ht="20" customHeight="1">
      <c r="A2" s="4" t="s">
        <v>675</v>
      </c>
      <c r="B2" s="4" t="s">
        <v>676</v>
      </c>
      <c r="C2" s="4" t="s">
        <v>46</v>
      </c>
      <c r="D2" s="4" t="s">
        <v>46</v>
      </c>
      <c r="E2" s="4" t="s">
        <v>677</v>
      </c>
      <c r="F2" s="4" t="s">
        <v>678</v>
      </c>
      <c r="G2" s="4" t="s">
        <v>679</v>
      </c>
      <c r="H2" s="4" t="s">
        <v>86</v>
      </c>
      <c r="I2" s="4" t="s">
        <v>680</v>
      </c>
    </row>
    <row r="3" spans="1:9" ht="20" customHeight="1">
      <c r="A3" s="4" t="s">
        <v>681</v>
      </c>
      <c r="B3" s="4" t="s">
        <v>28</v>
      </c>
      <c r="C3" s="4" t="s">
        <v>46</v>
      </c>
      <c r="D3" s="4" t="s">
        <v>46</v>
      </c>
      <c r="E3" s="4" t="s">
        <v>682</v>
      </c>
      <c r="F3" s="4" t="s">
        <v>683</v>
      </c>
      <c r="G3" s="4" t="s">
        <v>684</v>
      </c>
      <c r="H3" s="4" t="s">
        <v>86</v>
      </c>
      <c r="I3" s="4" t="s">
        <v>685</v>
      </c>
    </row>
    <row r="4" spans="1:9" ht="20" customHeight="1">
      <c r="A4" s="4" t="s">
        <v>686</v>
      </c>
      <c r="B4" s="4" t="s">
        <v>687</v>
      </c>
      <c r="C4" s="4" t="s">
        <v>54</v>
      </c>
      <c r="D4" s="4" t="s">
        <v>46</v>
      </c>
      <c r="E4" s="4" t="s">
        <v>688</v>
      </c>
      <c r="F4" s="4" t="s">
        <v>689</v>
      </c>
      <c r="G4" s="4" t="s">
        <v>690</v>
      </c>
      <c r="H4" s="4" t="s">
        <v>86</v>
      </c>
      <c r="I4" s="4" t="s">
        <v>691</v>
      </c>
    </row>
    <row r="5" spans="1:9" ht="20" customHeight="1">
      <c r="A5" s="4" t="s">
        <v>92</v>
      </c>
      <c r="B5" s="4" t="s">
        <v>692</v>
      </c>
      <c r="C5" s="4" t="s">
        <v>46</v>
      </c>
      <c r="D5" s="4" t="s">
        <v>46</v>
      </c>
      <c r="E5" s="4" t="s">
        <v>693</v>
      </c>
      <c r="F5" s="4" t="s">
        <v>694</v>
      </c>
      <c r="G5" s="4" t="s">
        <v>695</v>
      </c>
      <c r="H5" s="4" t="s">
        <v>86</v>
      </c>
      <c r="I5" s="4" t="s">
        <v>696</v>
      </c>
    </row>
    <row r="6" spans="1:9" ht="20" customHeight="1">
      <c r="A6" s="4" t="s">
        <v>697</v>
      </c>
      <c r="B6" s="4" t="s">
        <v>692</v>
      </c>
      <c r="C6" s="4" t="s">
        <v>46</v>
      </c>
      <c r="D6" s="4" t="s">
        <v>54</v>
      </c>
      <c r="E6" s="4" t="s">
        <v>698</v>
      </c>
      <c r="F6" s="4" t="s">
        <v>694</v>
      </c>
      <c r="G6" s="4" t="s">
        <v>699</v>
      </c>
      <c r="H6" s="4" t="s">
        <v>537</v>
      </c>
      <c r="I6" s="4" t="s">
        <v>700</v>
      </c>
    </row>
    <row r="7" spans="1:9" ht="20" customHeight="1">
      <c r="A7" s="4" t="s">
        <v>701</v>
      </c>
      <c r="B7" s="4" t="s">
        <v>702</v>
      </c>
      <c r="C7" s="4" t="s">
        <v>46</v>
      </c>
      <c r="D7" s="4" t="s">
        <v>46</v>
      </c>
      <c r="E7" s="4" t="s">
        <v>703</v>
      </c>
      <c r="F7" s="4" t="s">
        <v>704</v>
      </c>
      <c r="G7" s="4" t="s">
        <v>705</v>
      </c>
      <c r="H7" s="4" t="s">
        <v>86</v>
      </c>
      <c r="I7" s="4" t="s">
        <v>706</v>
      </c>
    </row>
    <row r="8" spans="1:9" ht="20" customHeight="1">
      <c r="A8" s="4" t="s">
        <v>707</v>
      </c>
      <c r="B8" s="4" t="s">
        <v>708</v>
      </c>
      <c r="C8" s="4" t="s">
        <v>54</v>
      </c>
      <c r="D8" s="4" t="s">
        <v>46</v>
      </c>
      <c r="E8" s="4" t="s">
        <v>709</v>
      </c>
      <c r="F8" s="4" t="s">
        <v>694</v>
      </c>
      <c r="G8" s="4" t="s">
        <v>710</v>
      </c>
      <c r="H8" s="4" t="s">
        <v>108</v>
      </c>
      <c r="I8" s="4" t="s">
        <v>711</v>
      </c>
    </row>
    <row r="9" spans="1:9" ht="20" customHeight="1">
      <c r="A9" s="4" t="s">
        <v>712</v>
      </c>
      <c r="B9" s="4" t="s">
        <v>713</v>
      </c>
      <c r="C9" s="4" t="s">
        <v>46</v>
      </c>
      <c r="D9" s="4" t="s">
        <v>54</v>
      </c>
      <c r="E9" s="4" t="s">
        <v>714</v>
      </c>
      <c r="F9" s="4" t="s">
        <v>715</v>
      </c>
      <c r="G9" s="4" t="s">
        <v>716</v>
      </c>
      <c r="H9" s="4" t="s">
        <v>547</v>
      </c>
      <c r="I9" s="4" t="s">
        <v>717</v>
      </c>
    </row>
    <row r="10" spans="1:9" ht="20" customHeight="1">
      <c r="A10" s="4" t="s">
        <v>718</v>
      </c>
      <c r="B10" s="4" t="s">
        <v>719</v>
      </c>
      <c r="C10" s="4" t="s">
        <v>54</v>
      </c>
      <c r="D10" s="4" t="s">
        <v>54</v>
      </c>
      <c r="E10" s="4" t="s">
        <v>720</v>
      </c>
      <c r="F10" s="4" t="s">
        <v>678</v>
      </c>
      <c r="G10" s="4" t="s">
        <v>721</v>
      </c>
      <c r="H10" s="4" t="s">
        <v>86</v>
      </c>
      <c r="I10" s="4" t="s">
        <v>722</v>
      </c>
    </row>
    <row r="11" spans="1:9" ht="20" customHeight="1">
      <c r="A11" s="4" t="s">
        <v>723</v>
      </c>
      <c r="B11" s="4" t="s">
        <v>318</v>
      </c>
      <c r="C11" s="4" t="s">
        <v>54</v>
      </c>
      <c r="D11" s="4" t="s">
        <v>46</v>
      </c>
      <c r="E11" s="4" t="s">
        <v>724</v>
      </c>
      <c r="F11" s="4" t="s">
        <v>689</v>
      </c>
      <c r="G11" s="4" t="s">
        <v>725</v>
      </c>
      <c r="H11" s="4" t="s">
        <v>86</v>
      </c>
      <c r="I11" s="4" t="s">
        <v>726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/>
  </sheetViews>
  <sheetFormatPr baseColWidth="10" defaultColWidth="8.83203125" defaultRowHeight="15"/>
  <cols>
    <col min="1" max="1" width="7.5" customWidth="1"/>
    <col min="2" max="2" width="14.6640625" customWidth="1"/>
    <col min="3" max="3" width="10.6640625" customWidth="1"/>
    <col min="4" max="4" width="40" customWidth="1"/>
    <col min="5" max="5" width="13.6640625" customWidth="1"/>
    <col min="6" max="6" width="17.5" customWidth="1"/>
    <col min="7" max="7" width="6.83203125" customWidth="1"/>
    <col min="8" max="8" width="8.6640625" customWidth="1"/>
    <col min="9" max="9" width="10" customWidth="1"/>
    <col min="10" max="10" width="34" customWidth="1"/>
  </cols>
  <sheetData>
    <row r="1" spans="1:10" ht="20" customHeight="1">
      <c r="A1" s="3" t="s">
        <v>727</v>
      </c>
      <c r="B1" s="3" t="s">
        <v>728</v>
      </c>
      <c r="C1" s="3" t="s">
        <v>549</v>
      </c>
      <c r="D1" s="3" t="s">
        <v>729</v>
      </c>
      <c r="E1" s="3" t="s">
        <v>28</v>
      </c>
      <c r="F1" s="3" t="s">
        <v>326</v>
      </c>
      <c r="G1" s="3" t="s">
        <v>552</v>
      </c>
      <c r="H1" s="3" t="s">
        <v>79</v>
      </c>
      <c r="I1" s="3" t="s">
        <v>730</v>
      </c>
      <c r="J1" s="3" t="s">
        <v>731</v>
      </c>
    </row>
    <row r="2" spans="1:10" ht="20" customHeight="1">
      <c r="A2" s="4" t="s">
        <v>732</v>
      </c>
      <c r="B2" s="4" t="s">
        <v>733</v>
      </c>
      <c r="C2" s="5">
        <v>46268</v>
      </c>
      <c r="D2" s="4" t="s">
        <v>734</v>
      </c>
      <c r="E2" s="4" t="s">
        <v>86</v>
      </c>
      <c r="F2" s="5">
        <v>46280</v>
      </c>
      <c r="G2" s="4" t="s">
        <v>46</v>
      </c>
      <c r="H2" s="4" t="s">
        <v>139</v>
      </c>
      <c r="I2" s="4" t="s">
        <v>295</v>
      </c>
      <c r="J2" s="4" t="s">
        <v>735</v>
      </c>
    </row>
    <row r="3" spans="1:10" ht="20" customHeight="1">
      <c r="A3" s="4" t="s">
        <v>736</v>
      </c>
      <c r="B3" s="4" t="s">
        <v>737</v>
      </c>
      <c r="C3" s="5">
        <v>46273</v>
      </c>
      <c r="D3" s="4" t="s">
        <v>738</v>
      </c>
      <c r="E3" s="4" t="s">
        <v>537</v>
      </c>
      <c r="F3" s="5">
        <v>46279</v>
      </c>
      <c r="G3" s="4" t="s">
        <v>46</v>
      </c>
      <c r="H3" s="4" t="s">
        <v>139</v>
      </c>
      <c r="I3" s="4" t="s">
        <v>382</v>
      </c>
      <c r="J3" s="4" t="s">
        <v>739</v>
      </c>
    </row>
    <row r="4" spans="1:10" ht="20" customHeight="1">
      <c r="A4" s="4" t="s">
        <v>740</v>
      </c>
      <c r="B4" s="4" t="s">
        <v>733</v>
      </c>
      <c r="C4" s="5">
        <v>46275</v>
      </c>
      <c r="D4" s="4" t="s">
        <v>741</v>
      </c>
      <c r="E4" s="4" t="s">
        <v>566</v>
      </c>
      <c r="F4" s="5">
        <v>46283</v>
      </c>
      <c r="G4" s="4" t="s">
        <v>46</v>
      </c>
      <c r="H4" s="4" t="s">
        <v>385</v>
      </c>
      <c r="I4" s="4" t="s">
        <v>386</v>
      </c>
      <c r="J4" s="4" t="s">
        <v>742</v>
      </c>
    </row>
    <row r="5" spans="1:10" ht="20" customHeight="1">
      <c r="A5" s="4" t="s">
        <v>743</v>
      </c>
      <c r="B5" s="4" t="s">
        <v>55</v>
      </c>
      <c r="C5" s="5">
        <v>46275</v>
      </c>
      <c r="D5" s="4" t="s">
        <v>744</v>
      </c>
      <c r="E5" s="4" t="s">
        <v>745</v>
      </c>
      <c r="F5" s="5">
        <v>46276</v>
      </c>
      <c r="G5" s="4" t="s">
        <v>46</v>
      </c>
      <c r="H5" s="4" t="s">
        <v>139</v>
      </c>
      <c r="I5" s="4" t="s">
        <v>746</v>
      </c>
      <c r="J5" s="4" t="s">
        <v>747</v>
      </c>
    </row>
    <row r="6" spans="1:10" ht="20" customHeight="1">
      <c r="A6" s="4" t="s">
        <v>748</v>
      </c>
      <c r="B6" s="4" t="s">
        <v>47</v>
      </c>
      <c r="C6" s="5">
        <v>46274</v>
      </c>
      <c r="D6" s="4" t="s">
        <v>749</v>
      </c>
      <c r="E6" s="4" t="s">
        <v>750</v>
      </c>
      <c r="F6" s="5">
        <v>46283</v>
      </c>
      <c r="G6" s="4" t="s">
        <v>46</v>
      </c>
      <c r="H6" s="4" t="s">
        <v>385</v>
      </c>
      <c r="I6" s="4" t="s">
        <v>510</v>
      </c>
      <c r="J6" s="4" t="s">
        <v>751</v>
      </c>
    </row>
    <row r="7" spans="1:10" ht="20" customHeight="1">
      <c r="A7" s="4" t="s">
        <v>752</v>
      </c>
      <c r="B7" s="4" t="s">
        <v>61</v>
      </c>
      <c r="C7" s="5">
        <v>46274</v>
      </c>
      <c r="D7" s="4" t="s">
        <v>753</v>
      </c>
      <c r="E7" s="4" t="s">
        <v>526</v>
      </c>
      <c r="F7" s="5">
        <v>46280</v>
      </c>
      <c r="G7" s="4" t="s">
        <v>54</v>
      </c>
      <c r="H7" s="4" t="s">
        <v>385</v>
      </c>
      <c r="I7" s="4" t="s">
        <v>658</v>
      </c>
      <c r="J7" s="4" t="s">
        <v>754</v>
      </c>
    </row>
    <row r="8" spans="1:10" ht="20" customHeight="1">
      <c r="A8" s="4" t="s">
        <v>755</v>
      </c>
      <c r="B8" s="4" t="s">
        <v>733</v>
      </c>
      <c r="C8" s="5">
        <v>46268</v>
      </c>
      <c r="D8" s="4" t="s">
        <v>756</v>
      </c>
      <c r="E8" s="4" t="s">
        <v>686</v>
      </c>
      <c r="F8" s="5">
        <v>46282</v>
      </c>
      <c r="G8" s="4" t="s">
        <v>54</v>
      </c>
      <c r="H8" s="4" t="s">
        <v>139</v>
      </c>
      <c r="I8" s="4" t="s">
        <v>538</v>
      </c>
      <c r="J8" s="4" t="s">
        <v>757</v>
      </c>
    </row>
    <row r="9" spans="1:10" ht="20" customHeight="1">
      <c r="A9" s="4" t="s">
        <v>758</v>
      </c>
      <c r="B9" s="4" t="s">
        <v>30</v>
      </c>
      <c r="C9" s="5">
        <v>46276</v>
      </c>
      <c r="D9" s="4" t="s">
        <v>759</v>
      </c>
      <c r="E9" s="4" t="s">
        <v>108</v>
      </c>
      <c r="F9" s="5">
        <v>46279</v>
      </c>
      <c r="G9" s="4" t="s">
        <v>46</v>
      </c>
      <c r="H9" s="4" t="s">
        <v>385</v>
      </c>
      <c r="I9" s="4" t="s">
        <v>559</v>
      </c>
      <c r="J9" s="4" t="s">
        <v>760</v>
      </c>
    </row>
  </sheetData>
  <conditionalFormatting sqref="F2:F9">
    <cfRule type="expression" dxfId="2" priority="1">
      <formula>AND(H2&lt;&gt;"Complete",F2&lt;TODAY())</formula>
    </cfRule>
  </conditionalFormatting>
  <dataValidations count="1">
    <dataValidation type="list" sqref="H2:H9" xr:uid="{00000000-0002-0000-0C00-000000000000}">
      <formula1>"Open,In Progress,Complete"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>
      <selection activeCell="C1" sqref="C1"/>
    </sheetView>
  </sheetViews>
  <sheetFormatPr baseColWidth="10" defaultColWidth="8.83203125" defaultRowHeight="15"/>
  <cols>
    <col min="1" max="1" width="6.1640625" customWidth="1"/>
    <col min="2" max="2" width="12.6640625" customWidth="1"/>
    <col min="3" max="3" width="36" customWidth="1"/>
    <col min="4" max="4" width="14.1640625" customWidth="1"/>
    <col min="5" max="5" width="10.1640625" customWidth="1"/>
    <col min="6" max="6" width="13.33203125" customWidth="1"/>
    <col min="7" max="7" width="9.1640625" customWidth="1"/>
    <col min="8" max="8" width="9.6640625" customWidth="1"/>
    <col min="9" max="9" width="15.5" customWidth="1"/>
    <col min="10" max="10" width="34" customWidth="1"/>
  </cols>
  <sheetData>
    <row r="1" spans="1:10" ht="20" customHeight="1">
      <c r="A1" s="3" t="s">
        <v>761</v>
      </c>
      <c r="B1" s="3" t="s">
        <v>500</v>
      </c>
      <c r="C1" s="3" t="s">
        <v>623</v>
      </c>
      <c r="D1" s="3" t="s">
        <v>579</v>
      </c>
      <c r="E1" s="3" t="s">
        <v>762</v>
      </c>
      <c r="F1" s="3" t="s">
        <v>763</v>
      </c>
      <c r="G1" s="3" t="s">
        <v>79</v>
      </c>
      <c r="H1" s="3" t="s">
        <v>764</v>
      </c>
      <c r="I1" s="3" t="s">
        <v>765</v>
      </c>
      <c r="J1" s="3" t="s">
        <v>82</v>
      </c>
    </row>
    <row r="2" spans="1:10" ht="20" customHeight="1">
      <c r="A2" s="4" t="s">
        <v>766</v>
      </c>
      <c r="B2" s="4" t="s">
        <v>767</v>
      </c>
      <c r="C2" s="4" t="s">
        <v>768</v>
      </c>
      <c r="D2" s="4" t="s">
        <v>100</v>
      </c>
      <c r="E2" s="5">
        <v>46458</v>
      </c>
      <c r="F2" s="5">
        <v>46458</v>
      </c>
      <c r="G2" s="4" t="s">
        <v>163</v>
      </c>
      <c r="H2" s="6">
        <v>0</v>
      </c>
      <c r="I2" s="4" t="s">
        <v>769</v>
      </c>
      <c r="J2" s="4" t="s">
        <v>770</v>
      </c>
    </row>
    <row r="3" spans="1:10" ht="20" customHeight="1">
      <c r="A3" s="4" t="s">
        <v>771</v>
      </c>
      <c r="B3" s="4" t="s">
        <v>196</v>
      </c>
      <c r="C3" s="4" t="s">
        <v>772</v>
      </c>
      <c r="D3" s="4" t="s">
        <v>773</v>
      </c>
      <c r="E3" s="5">
        <v>46444</v>
      </c>
      <c r="F3" s="5">
        <v>46444</v>
      </c>
      <c r="G3" s="4" t="s">
        <v>163</v>
      </c>
      <c r="H3" s="6">
        <v>0</v>
      </c>
      <c r="I3" s="4" t="s">
        <v>774</v>
      </c>
      <c r="J3" s="4"/>
    </row>
    <row r="4" spans="1:10" ht="20" customHeight="1">
      <c r="A4" s="4" t="s">
        <v>775</v>
      </c>
      <c r="B4" s="4" t="s">
        <v>776</v>
      </c>
      <c r="C4" s="4" t="s">
        <v>777</v>
      </c>
      <c r="D4" s="4" t="s">
        <v>778</v>
      </c>
      <c r="E4" s="5">
        <v>46430</v>
      </c>
      <c r="F4" s="5">
        <v>46437</v>
      </c>
      <c r="G4" s="4" t="s">
        <v>163</v>
      </c>
      <c r="H4" s="6">
        <v>0</v>
      </c>
      <c r="I4" s="4" t="s">
        <v>779</v>
      </c>
      <c r="J4" s="4" t="s">
        <v>780</v>
      </c>
    </row>
    <row r="5" spans="1:10" ht="20" customHeight="1">
      <c r="A5" s="4" t="s">
        <v>781</v>
      </c>
      <c r="B5" s="4" t="s">
        <v>782</v>
      </c>
      <c r="C5" s="4" t="s">
        <v>783</v>
      </c>
      <c r="D5" s="4" t="s">
        <v>784</v>
      </c>
      <c r="E5" s="5">
        <v>46451</v>
      </c>
      <c r="F5" s="5">
        <v>46451</v>
      </c>
      <c r="G5" s="4" t="s">
        <v>163</v>
      </c>
      <c r="H5" s="6">
        <v>0</v>
      </c>
      <c r="I5" s="4" t="s">
        <v>774</v>
      </c>
      <c r="J5" s="4" t="s">
        <v>785</v>
      </c>
    </row>
    <row r="6" spans="1:10" ht="20" customHeight="1">
      <c r="A6" s="4" t="s">
        <v>786</v>
      </c>
      <c r="B6" s="4" t="s">
        <v>787</v>
      </c>
      <c r="C6" s="4" t="s">
        <v>788</v>
      </c>
      <c r="D6" s="4" t="s">
        <v>778</v>
      </c>
      <c r="E6" s="5">
        <v>46437</v>
      </c>
      <c r="F6" s="5">
        <v>46444</v>
      </c>
      <c r="G6" s="4" t="s">
        <v>163</v>
      </c>
      <c r="H6" s="6">
        <v>0</v>
      </c>
      <c r="I6" s="4" t="s">
        <v>789</v>
      </c>
      <c r="J6" s="4" t="s">
        <v>790</v>
      </c>
    </row>
    <row r="7" spans="1:10" ht="20" customHeight="1">
      <c r="A7" s="4" t="s">
        <v>791</v>
      </c>
      <c r="B7" s="4" t="s">
        <v>792</v>
      </c>
      <c r="C7" s="4" t="s">
        <v>793</v>
      </c>
      <c r="D7" s="4" t="s">
        <v>778</v>
      </c>
      <c r="E7" s="5">
        <v>46451</v>
      </c>
      <c r="F7" s="5">
        <v>46451</v>
      </c>
      <c r="G7" s="4" t="s">
        <v>163</v>
      </c>
      <c r="H7" s="6">
        <v>0</v>
      </c>
      <c r="I7" s="4" t="s">
        <v>769</v>
      </c>
      <c r="J7" s="4"/>
    </row>
    <row r="8" spans="1:10" ht="20" customHeight="1">
      <c r="A8" s="4" t="s">
        <v>794</v>
      </c>
      <c r="B8" s="4" t="s">
        <v>795</v>
      </c>
      <c r="C8" s="4" t="s">
        <v>796</v>
      </c>
      <c r="D8" s="4" t="s">
        <v>797</v>
      </c>
      <c r="E8" s="5">
        <v>46451</v>
      </c>
      <c r="F8" s="5">
        <v>46451</v>
      </c>
      <c r="G8" s="4" t="s">
        <v>163</v>
      </c>
      <c r="H8" s="6">
        <v>0</v>
      </c>
      <c r="I8" s="4" t="s">
        <v>769</v>
      </c>
      <c r="J8" s="4" t="s">
        <v>798</v>
      </c>
    </row>
    <row r="9" spans="1:10" ht="20" customHeight="1">
      <c r="A9" s="4" t="s">
        <v>799</v>
      </c>
      <c r="B9" s="4" t="s">
        <v>782</v>
      </c>
      <c r="C9" s="4" t="s">
        <v>800</v>
      </c>
      <c r="D9" s="4" t="s">
        <v>801</v>
      </c>
      <c r="E9" s="5">
        <v>46451</v>
      </c>
      <c r="F9" s="5">
        <v>46451</v>
      </c>
      <c r="G9" s="4" t="s">
        <v>163</v>
      </c>
      <c r="H9" s="6">
        <v>0</v>
      </c>
      <c r="I9" s="4" t="s">
        <v>802</v>
      </c>
      <c r="J9" s="4"/>
    </row>
    <row r="10" spans="1:10" ht="20" customHeight="1">
      <c r="A10" s="4" t="s">
        <v>803</v>
      </c>
      <c r="B10" s="4" t="s">
        <v>804</v>
      </c>
      <c r="C10" s="4" t="s">
        <v>805</v>
      </c>
      <c r="D10" s="4" t="s">
        <v>806</v>
      </c>
      <c r="E10" s="5">
        <v>46458</v>
      </c>
      <c r="F10" s="5">
        <v>46458</v>
      </c>
      <c r="G10" s="4" t="s">
        <v>163</v>
      </c>
      <c r="H10" s="6">
        <v>0</v>
      </c>
      <c r="I10" s="4" t="s">
        <v>807</v>
      </c>
      <c r="J10" s="4" t="s">
        <v>808</v>
      </c>
    </row>
    <row r="11" spans="1:10" ht="20" customHeight="1">
      <c r="A11" s="4" t="s">
        <v>809</v>
      </c>
      <c r="B11" s="4" t="s">
        <v>810</v>
      </c>
      <c r="C11" s="4" t="s">
        <v>811</v>
      </c>
      <c r="D11" s="4" t="s">
        <v>86</v>
      </c>
      <c r="E11" s="5">
        <v>46465</v>
      </c>
      <c r="F11" s="5">
        <v>46465</v>
      </c>
      <c r="G11" s="4" t="s">
        <v>163</v>
      </c>
      <c r="H11" s="6">
        <v>0</v>
      </c>
      <c r="I11" s="4" t="s">
        <v>812</v>
      </c>
      <c r="J11" s="4"/>
    </row>
  </sheetData>
  <conditionalFormatting sqref="H2:H1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{D30B47A4-60F2-8C87-F0EE-74356EBAF941}</x14:id>
        </ext>
      </extLst>
    </cfRule>
  </conditionalFormatting>
  <dataValidations count="1">
    <dataValidation type="list" sqref="G2:G11" xr:uid="{00000000-0002-0000-0D00-000000000000}">
      <formula1>"Not Started,In Progress,Complete,Blocked"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0B47A4-60F2-8C87-F0EE-74356EBAF941}">
            <x14:dataBar>
              <x14:cfvo type="min"/>
              <x14:cfvo type="max"/>
              <x14:negativeFillColor auto="1"/>
              <x14:axisColor auto="1"/>
            </x14:dataBar>
          </x14:cfRule>
          <xm:sqref>H2:H11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"/>
  <sheetViews>
    <sheetView workbookViewId="0">
      <selection activeCell="B5" sqref="B5"/>
    </sheetView>
  </sheetViews>
  <sheetFormatPr baseColWidth="10" defaultColWidth="8.83203125" defaultRowHeight="15"/>
  <cols>
    <col min="1" max="1" width="12.6640625" customWidth="1"/>
    <col min="2" max="2" width="13.6640625" customWidth="1"/>
    <col min="3" max="3" width="8" customWidth="1"/>
    <col min="4" max="4" width="24.6640625" customWidth="1"/>
    <col min="5" max="5" width="11.1640625" customWidth="1"/>
    <col min="6" max="6" width="8" customWidth="1"/>
    <col min="7" max="7" width="10.6640625" customWidth="1"/>
    <col min="8" max="8" width="11.83203125" customWidth="1"/>
    <col min="9" max="9" width="7.83203125" customWidth="1"/>
    <col min="10" max="10" width="12.33203125" customWidth="1"/>
    <col min="11" max="11" width="17.83203125" customWidth="1"/>
  </cols>
  <sheetData>
    <row r="1" spans="1:11" ht="20" customHeight="1">
      <c r="A1" s="3" t="s">
        <v>813</v>
      </c>
      <c r="B1" s="3" t="s">
        <v>814</v>
      </c>
      <c r="C1" s="3" t="s">
        <v>815</v>
      </c>
      <c r="D1" s="3" t="s">
        <v>816</v>
      </c>
      <c r="E1" s="3" t="s">
        <v>817</v>
      </c>
      <c r="F1" s="3" t="s">
        <v>818</v>
      </c>
      <c r="G1" s="3" t="s">
        <v>819</v>
      </c>
      <c r="H1" s="3" t="s">
        <v>820</v>
      </c>
      <c r="I1" s="3" t="s">
        <v>821</v>
      </c>
      <c r="J1" s="3" t="s">
        <v>822</v>
      </c>
      <c r="K1" s="3" t="s">
        <v>552</v>
      </c>
    </row>
    <row r="2" spans="1:11" ht="20" customHeight="1">
      <c r="A2" s="4" t="s">
        <v>163</v>
      </c>
      <c r="B2" s="4" t="s">
        <v>230</v>
      </c>
      <c r="C2" s="4" t="s">
        <v>385</v>
      </c>
      <c r="D2" s="4" t="s">
        <v>823</v>
      </c>
      <c r="E2" s="4" t="s">
        <v>497</v>
      </c>
      <c r="F2" s="4" t="s">
        <v>38</v>
      </c>
      <c r="G2" s="4" t="s">
        <v>385</v>
      </c>
      <c r="H2" s="4" t="s">
        <v>38</v>
      </c>
      <c r="I2" s="4" t="s">
        <v>385</v>
      </c>
      <c r="J2" s="4" t="s">
        <v>163</v>
      </c>
      <c r="K2" s="4" t="s">
        <v>38</v>
      </c>
    </row>
    <row r="3" spans="1:11" ht="20" customHeight="1">
      <c r="A3" s="4" t="s">
        <v>139</v>
      </c>
      <c r="B3" s="4" t="s">
        <v>226</v>
      </c>
      <c r="C3" s="4" t="s">
        <v>374</v>
      </c>
      <c r="D3" s="4" t="s">
        <v>400</v>
      </c>
      <c r="E3" s="4" t="s">
        <v>493</v>
      </c>
      <c r="F3" s="4" t="s">
        <v>54</v>
      </c>
      <c r="G3" s="4" t="s">
        <v>139</v>
      </c>
      <c r="H3" s="4" t="s">
        <v>54</v>
      </c>
      <c r="I3" s="4" t="s">
        <v>652</v>
      </c>
      <c r="J3" s="4" t="s">
        <v>139</v>
      </c>
      <c r="K3" s="4" t="s">
        <v>54</v>
      </c>
    </row>
    <row r="4" spans="1:11" ht="20" customHeight="1">
      <c r="A4" s="4" t="s">
        <v>87</v>
      </c>
      <c r="B4" s="4" t="s">
        <v>824</v>
      </c>
      <c r="C4" s="4" t="s">
        <v>283</v>
      </c>
      <c r="D4" s="4" t="s">
        <v>408</v>
      </c>
      <c r="E4" s="4" t="s">
        <v>408</v>
      </c>
      <c r="F4" s="4" t="s">
        <v>46</v>
      </c>
      <c r="G4" s="4" t="s">
        <v>87</v>
      </c>
      <c r="H4" s="4" t="s">
        <v>46</v>
      </c>
      <c r="I4" s="4" t="s">
        <v>631</v>
      </c>
      <c r="J4" s="4" t="s">
        <v>87</v>
      </c>
      <c r="K4" s="4" t="s">
        <v>46</v>
      </c>
    </row>
    <row r="5" spans="1:11" ht="20" customHeight="1">
      <c r="A5" s="4" t="s">
        <v>825</v>
      </c>
      <c r="B5" s="4"/>
      <c r="C5" s="4" t="s">
        <v>826</v>
      </c>
      <c r="D5" s="4" t="s">
        <v>412</v>
      </c>
      <c r="E5" s="4" t="s">
        <v>827</v>
      </c>
      <c r="F5" s="4" t="s">
        <v>603</v>
      </c>
      <c r="G5" s="4"/>
      <c r="H5" s="4" t="s">
        <v>603</v>
      </c>
      <c r="I5" s="4" t="s">
        <v>827</v>
      </c>
      <c r="J5" s="4" t="s">
        <v>828</v>
      </c>
      <c r="K5" s="4" t="s">
        <v>603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X40"/>
  <sheetViews>
    <sheetView workbookViewId="0"/>
  </sheetViews>
  <sheetFormatPr baseColWidth="10" defaultColWidth="8.83203125" defaultRowHeight="15"/>
  <cols>
    <col min="1" max="1" width="14" customWidth="1"/>
    <col min="2" max="2" width="34" customWidth="1"/>
    <col min="3" max="12" width="14" customWidth="1"/>
    <col min="13" max="76" width="3" customWidth="1"/>
  </cols>
  <sheetData>
    <row r="1" spans="1:76" ht="32">
      <c r="A1" s="14" t="s">
        <v>68</v>
      </c>
      <c r="B1" s="14" t="s">
        <v>70</v>
      </c>
      <c r="C1" s="14" t="s">
        <v>829</v>
      </c>
      <c r="D1" s="14" t="s">
        <v>830</v>
      </c>
      <c r="E1" s="14" t="s">
        <v>831</v>
      </c>
      <c r="F1" s="14" t="s">
        <v>832</v>
      </c>
      <c r="G1" s="14" t="s">
        <v>833</v>
      </c>
      <c r="H1" s="14" t="s">
        <v>834</v>
      </c>
      <c r="I1" s="14" t="s">
        <v>603</v>
      </c>
      <c r="J1" s="14" t="s">
        <v>835</v>
      </c>
      <c r="K1" s="14" t="s">
        <v>836</v>
      </c>
      <c r="L1" s="14" t="s">
        <v>79</v>
      </c>
      <c r="M1" s="13" t="s">
        <v>837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</row>
    <row r="2" spans="1:76" ht="16">
      <c r="A2" s="2" t="s">
        <v>83</v>
      </c>
      <c r="B2" s="2" t="s">
        <v>85</v>
      </c>
      <c r="C2" s="2"/>
      <c r="D2" s="18">
        <v>46034</v>
      </c>
      <c r="E2" s="18">
        <v>46045</v>
      </c>
      <c r="F2" s="18">
        <v>46034</v>
      </c>
      <c r="G2" s="18">
        <v>46044</v>
      </c>
      <c r="H2" s="2">
        <v>12</v>
      </c>
      <c r="I2" s="2" t="s">
        <v>88</v>
      </c>
      <c r="J2" s="2">
        <v>7</v>
      </c>
      <c r="K2" s="2">
        <v>-1</v>
      </c>
      <c r="L2" s="2" t="s">
        <v>87</v>
      </c>
      <c r="M2" s="16">
        <v>46035</v>
      </c>
      <c r="N2" s="16">
        <v>46042</v>
      </c>
      <c r="O2" s="16">
        <v>46049</v>
      </c>
      <c r="P2" s="16">
        <v>46056</v>
      </c>
      <c r="Q2" s="16">
        <v>46063</v>
      </c>
      <c r="R2" s="16">
        <v>46070</v>
      </c>
      <c r="S2" s="16">
        <v>46077</v>
      </c>
      <c r="T2" s="16">
        <v>46084</v>
      </c>
      <c r="U2" s="16">
        <v>46091</v>
      </c>
      <c r="V2" s="16">
        <v>46098</v>
      </c>
      <c r="W2" s="16">
        <v>46105</v>
      </c>
      <c r="X2" s="16">
        <v>46112</v>
      </c>
      <c r="Y2" s="16">
        <v>46119</v>
      </c>
      <c r="Z2" s="16">
        <v>46126</v>
      </c>
      <c r="AA2" s="16">
        <v>46133</v>
      </c>
      <c r="AB2" s="16">
        <v>46140</v>
      </c>
      <c r="AC2" s="16">
        <v>46147</v>
      </c>
      <c r="AD2" s="16">
        <v>46154</v>
      </c>
      <c r="AE2" s="16">
        <v>46161</v>
      </c>
      <c r="AF2" s="16">
        <v>46168</v>
      </c>
      <c r="AG2" s="16">
        <v>46175</v>
      </c>
      <c r="AH2" s="16">
        <v>46182</v>
      </c>
      <c r="AI2" s="16">
        <v>46189</v>
      </c>
      <c r="AJ2" s="16">
        <v>46196</v>
      </c>
      <c r="AK2" s="16">
        <v>46203</v>
      </c>
      <c r="AL2" s="16">
        <v>46210</v>
      </c>
      <c r="AM2" s="16">
        <v>46217</v>
      </c>
      <c r="AN2" s="16">
        <v>46224</v>
      </c>
      <c r="AO2" s="16">
        <v>46231</v>
      </c>
      <c r="AP2" s="16">
        <v>46238</v>
      </c>
      <c r="AQ2" s="16">
        <v>46245</v>
      </c>
      <c r="AR2" s="16">
        <v>46252</v>
      </c>
      <c r="AS2" s="16">
        <v>46259</v>
      </c>
      <c r="AT2" s="16">
        <v>46266</v>
      </c>
      <c r="AU2" s="16">
        <v>46273</v>
      </c>
      <c r="AV2" s="16">
        <v>46280</v>
      </c>
      <c r="AW2" s="16">
        <v>46287</v>
      </c>
      <c r="AX2" s="16">
        <v>46294</v>
      </c>
      <c r="AY2" s="16">
        <v>46301</v>
      </c>
      <c r="AZ2" s="16">
        <v>46308</v>
      </c>
      <c r="BA2" s="16">
        <v>46315</v>
      </c>
      <c r="BB2" s="16">
        <v>46322</v>
      </c>
      <c r="BC2" s="16">
        <v>46329</v>
      </c>
      <c r="BD2" s="16">
        <v>46336</v>
      </c>
      <c r="BE2" s="16">
        <v>46343</v>
      </c>
      <c r="BF2" s="16">
        <v>46350</v>
      </c>
      <c r="BG2" s="16">
        <v>46357</v>
      </c>
      <c r="BH2" s="16">
        <v>46364</v>
      </c>
      <c r="BI2" s="16">
        <v>46371</v>
      </c>
      <c r="BJ2" s="16">
        <v>46378</v>
      </c>
      <c r="BK2" s="16">
        <v>46385</v>
      </c>
      <c r="BL2" s="16">
        <v>46392</v>
      </c>
      <c r="BM2" s="16">
        <v>46399</v>
      </c>
      <c r="BN2" s="16">
        <v>46406</v>
      </c>
      <c r="BO2" s="16">
        <v>46413</v>
      </c>
      <c r="BP2" s="16">
        <v>46420</v>
      </c>
      <c r="BQ2" s="16">
        <v>46427</v>
      </c>
      <c r="BR2" s="16">
        <v>46434</v>
      </c>
      <c r="BS2" s="16">
        <v>46441</v>
      </c>
      <c r="BT2" s="16">
        <v>46448</v>
      </c>
      <c r="BU2" s="16">
        <v>46455</v>
      </c>
      <c r="BV2" s="16">
        <v>46462</v>
      </c>
      <c r="BW2" s="16">
        <v>46469</v>
      </c>
      <c r="BX2" s="16">
        <v>46476</v>
      </c>
    </row>
    <row r="3" spans="1:76" ht="16">
      <c r="A3" s="2" t="s">
        <v>90</v>
      </c>
      <c r="B3" s="2" t="s">
        <v>91</v>
      </c>
      <c r="C3" s="2" t="s">
        <v>83</v>
      </c>
      <c r="D3" s="18">
        <v>46041</v>
      </c>
      <c r="E3" s="18">
        <v>46073</v>
      </c>
      <c r="F3" s="18">
        <v>46041</v>
      </c>
      <c r="G3" s="18">
        <v>46077</v>
      </c>
      <c r="H3" s="2">
        <v>33</v>
      </c>
      <c r="I3" s="2" t="s">
        <v>93</v>
      </c>
      <c r="J3" s="2">
        <v>0</v>
      </c>
      <c r="K3" s="2">
        <v>4</v>
      </c>
      <c r="L3" s="2" t="s">
        <v>87</v>
      </c>
      <c r="M3" s="17" t="s">
        <v>838</v>
      </c>
      <c r="N3" s="17" t="s">
        <v>838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</row>
    <row r="4" spans="1:76" ht="16">
      <c r="A4" s="2" t="s">
        <v>95</v>
      </c>
      <c r="B4" s="2" t="s">
        <v>96</v>
      </c>
      <c r="C4" s="2" t="s">
        <v>90</v>
      </c>
      <c r="D4" s="18">
        <v>46076</v>
      </c>
      <c r="E4" s="18">
        <v>46108</v>
      </c>
      <c r="F4" s="18">
        <v>46078</v>
      </c>
      <c r="G4" s="18">
        <v>46114</v>
      </c>
      <c r="H4" s="2">
        <v>33</v>
      </c>
      <c r="I4" s="2" t="s">
        <v>93</v>
      </c>
      <c r="J4" s="2">
        <v>0</v>
      </c>
      <c r="K4" s="2">
        <v>6</v>
      </c>
      <c r="L4" s="2" t="s">
        <v>87</v>
      </c>
      <c r="M4" s="17"/>
      <c r="N4" s="17" t="s">
        <v>838</v>
      </c>
      <c r="O4" s="17" t="s">
        <v>838</v>
      </c>
      <c r="P4" s="17" t="s">
        <v>838</v>
      </c>
      <c r="Q4" s="17" t="s">
        <v>838</v>
      </c>
      <c r="R4" s="17" t="s">
        <v>838</v>
      </c>
      <c r="S4" s="17" t="s">
        <v>838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</row>
    <row r="5" spans="1:76" ht="16">
      <c r="A5" s="2" t="s">
        <v>98</v>
      </c>
      <c r="B5" s="2" t="s">
        <v>99</v>
      </c>
      <c r="C5" s="2" t="s">
        <v>95</v>
      </c>
      <c r="D5" s="18">
        <v>46083</v>
      </c>
      <c r="E5" s="18">
        <v>46122</v>
      </c>
      <c r="F5" s="18">
        <v>46083</v>
      </c>
      <c r="G5" s="18">
        <v>46126</v>
      </c>
      <c r="H5" s="2">
        <v>40</v>
      </c>
      <c r="I5" s="2" t="s">
        <v>93</v>
      </c>
      <c r="J5" s="2">
        <v>0</v>
      </c>
      <c r="K5" s="2">
        <v>4</v>
      </c>
      <c r="L5" s="2" t="s">
        <v>87</v>
      </c>
      <c r="M5" s="17"/>
      <c r="N5" s="17"/>
      <c r="O5" s="17"/>
      <c r="P5" s="17"/>
      <c r="Q5" s="17"/>
      <c r="R5" s="17"/>
      <c r="S5" s="17"/>
      <c r="T5" s="17" t="s">
        <v>838</v>
      </c>
      <c r="U5" s="17" t="s">
        <v>838</v>
      </c>
      <c r="V5" s="17" t="s">
        <v>838</v>
      </c>
      <c r="W5" s="17" t="s">
        <v>838</v>
      </c>
      <c r="X5" s="17" t="s">
        <v>838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</row>
    <row r="6" spans="1:76" ht="16">
      <c r="A6" s="2" t="s">
        <v>102</v>
      </c>
      <c r="B6" s="2" t="s">
        <v>103</v>
      </c>
      <c r="C6" s="2" t="s">
        <v>90</v>
      </c>
      <c r="D6" s="18">
        <v>46069</v>
      </c>
      <c r="E6" s="18">
        <v>46115</v>
      </c>
      <c r="F6" s="18">
        <v>46069</v>
      </c>
      <c r="G6" s="18">
        <v>46119</v>
      </c>
      <c r="H6" s="2">
        <v>47</v>
      </c>
      <c r="I6" s="2" t="s">
        <v>88</v>
      </c>
      <c r="J6" s="2">
        <v>7</v>
      </c>
      <c r="K6" s="2">
        <v>4</v>
      </c>
      <c r="L6" s="2" t="s">
        <v>87</v>
      </c>
      <c r="M6" s="17"/>
      <c r="N6" s="17"/>
      <c r="O6" s="17"/>
      <c r="P6" s="17"/>
      <c r="Q6" s="17"/>
      <c r="R6" s="17"/>
      <c r="S6" s="17"/>
      <c r="T6" s="17" t="s">
        <v>838</v>
      </c>
      <c r="U6" s="17" t="s">
        <v>838</v>
      </c>
      <c r="V6" s="17" t="s">
        <v>838</v>
      </c>
      <c r="W6" s="17" t="s">
        <v>838</v>
      </c>
      <c r="X6" s="17" t="s">
        <v>838</v>
      </c>
      <c r="Y6" s="17" t="s">
        <v>838</v>
      </c>
      <c r="Z6" s="17" t="s">
        <v>838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</row>
    <row r="7" spans="1:76" ht="16">
      <c r="A7" s="2" t="s">
        <v>105</v>
      </c>
      <c r="B7" s="2" t="s">
        <v>107</v>
      </c>
      <c r="C7" s="2" t="s">
        <v>109</v>
      </c>
      <c r="D7" s="18">
        <v>46125</v>
      </c>
      <c r="E7" s="18">
        <v>46136</v>
      </c>
      <c r="F7" s="18">
        <v>46127</v>
      </c>
      <c r="G7" s="18">
        <v>46136</v>
      </c>
      <c r="H7" s="2">
        <v>12</v>
      </c>
      <c r="I7" s="2" t="s">
        <v>93</v>
      </c>
      <c r="J7" s="2">
        <v>0</v>
      </c>
      <c r="K7" s="2">
        <v>0</v>
      </c>
      <c r="L7" s="2" t="s">
        <v>87</v>
      </c>
      <c r="M7" s="17"/>
      <c r="N7" s="17"/>
      <c r="O7" s="17"/>
      <c r="P7" s="17"/>
      <c r="Q7" s="17"/>
      <c r="R7" s="17" t="s">
        <v>838</v>
      </c>
      <c r="S7" s="17" t="s">
        <v>838</v>
      </c>
      <c r="T7" s="17" t="s">
        <v>838</v>
      </c>
      <c r="U7" s="17" t="s">
        <v>838</v>
      </c>
      <c r="V7" s="17" t="s">
        <v>838</v>
      </c>
      <c r="W7" s="17" t="s">
        <v>838</v>
      </c>
      <c r="X7" s="17" t="s">
        <v>838</v>
      </c>
      <c r="Y7" s="17" t="s">
        <v>838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</row>
    <row r="8" spans="1:76" ht="16">
      <c r="A8" s="2" t="s">
        <v>111</v>
      </c>
      <c r="B8" s="2" t="s">
        <v>113</v>
      </c>
      <c r="C8" s="2" t="s">
        <v>105</v>
      </c>
      <c r="D8" s="18">
        <v>46132</v>
      </c>
      <c r="E8" s="18">
        <v>46150</v>
      </c>
      <c r="F8" s="18">
        <v>46134</v>
      </c>
      <c r="G8" s="18">
        <v>46153</v>
      </c>
      <c r="H8" s="2">
        <v>19</v>
      </c>
      <c r="I8" s="2" t="s">
        <v>93</v>
      </c>
      <c r="J8" s="2">
        <v>0</v>
      </c>
      <c r="K8" s="2">
        <v>3</v>
      </c>
      <c r="L8" s="2" t="s">
        <v>87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 t="s">
        <v>838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</row>
    <row r="9" spans="1:76" ht="16">
      <c r="A9" s="2" t="s">
        <v>116</v>
      </c>
      <c r="B9" s="2" t="s">
        <v>117</v>
      </c>
      <c r="C9" s="2" t="s">
        <v>111</v>
      </c>
      <c r="D9" s="18">
        <v>46146</v>
      </c>
      <c r="E9" s="18">
        <v>46185</v>
      </c>
      <c r="F9" s="18">
        <v>46148</v>
      </c>
      <c r="G9" s="18">
        <v>46191</v>
      </c>
      <c r="H9" s="2">
        <v>40</v>
      </c>
      <c r="I9" s="2" t="s">
        <v>93</v>
      </c>
      <c r="J9" s="2">
        <v>0</v>
      </c>
      <c r="K9" s="2">
        <v>6</v>
      </c>
      <c r="L9" s="2" t="s">
        <v>87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 t="s">
        <v>838</v>
      </c>
      <c r="AC9" s="17" t="s">
        <v>838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</row>
    <row r="10" spans="1:76" ht="16">
      <c r="A10" s="2" t="s">
        <v>119</v>
      </c>
      <c r="B10" s="2" t="s">
        <v>121</v>
      </c>
      <c r="C10" s="2" t="s">
        <v>116</v>
      </c>
      <c r="D10" s="18">
        <v>46167</v>
      </c>
      <c r="E10" s="18">
        <v>46192</v>
      </c>
      <c r="F10" s="18">
        <v>46170</v>
      </c>
      <c r="G10" s="18">
        <v>46197</v>
      </c>
      <c r="H10" s="2">
        <v>26</v>
      </c>
      <c r="I10" s="2" t="s">
        <v>93</v>
      </c>
      <c r="J10" s="2">
        <v>0</v>
      </c>
      <c r="K10" s="2">
        <v>5</v>
      </c>
      <c r="L10" s="2" t="s">
        <v>87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 t="s">
        <v>838</v>
      </c>
      <c r="AE10" s="17" t="s">
        <v>838</v>
      </c>
      <c r="AF10" s="17" t="s">
        <v>838</v>
      </c>
      <c r="AG10" s="17" t="s">
        <v>838</v>
      </c>
      <c r="AH10" s="17" t="s">
        <v>838</v>
      </c>
      <c r="AI10" s="17" t="s">
        <v>838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</row>
    <row r="11" spans="1:76" ht="16">
      <c r="A11" s="2" t="s">
        <v>124</v>
      </c>
      <c r="B11" s="2" t="s">
        <v>125</v>
      </c>
      <c r="C11" s="2" t="s">
        <v>119</v>
      </c>
      <c r="D11" s="18">
        <v>46188</v>
      </c>
      <c r="E11" s="18">
        <v>46213</v>
      </c>
      <c r="F11" s="18">
        <v>46193</v>
      </c>
      <c r="G11" s="18">
        <v>46218</v>
      </c>
      <c r="H11" s="2">
        <v>26</v>
      </c>
      <c r="I11" s="2" t="s">
        <v>93</v>
      </c>
      <c r="J11" s="2">
        <v>0</v>
      </c>
      <c r="K11" s="2">
        <v>5</v>
      </c>
      <c r="L11" s="2" t="s">
        <v>87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 t="s">
        <v>838</v>
      </c>
      <c r="AH11" s="17" t="s">
        <v>838</v>
      </c>
      <c r="AI11" s="17" t="s">
        <v>838</v>
      </c>
      <c r="AJ11" s="17" t="s">
        <v>838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</row>
    <row r="12" spans="1:76" ht="16">
      <c r="A12" s="2" t="s">
        <v>127</v>
      </c>
      <c r="B12" s="2" t="s">
        <v>129</v>
      </c>
      <c r="C12" s="2" t="s">
        <v>102</v>
      </c>
      <c r="D12" s="18">
        <v>46132</v>
      </c>
      <c r="E12" s="18">
        <v>46206</v>
      </c>
      <c r="F12" s="18">
        <v>46134</v>
      </c>
      <c r="G12" s="18">
        <v>46213</v>
      </c>
      <c r="H12" s="2">
        <v>75</v>
      </c>
      <c r="I12" s="2" t="s">
        <v>93</v>
      </c>
      <c r="J12" s="2">
        <v>0</v>
      </c>
      <c r="K12" s="2">
        <v>7</v>
      </c>
      <c r="L12" s="2" t="s">
        <v>87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 t="s">
        <v>838</v>
      </c>
      <c r="AK12" s="17" t="s">
        <v>838</v>
      </c>
      <c r="AL12" s="17" t="s">
        <v>838</v>
      </c>
      <c r="AM12" s="17" t="s">
        <v>838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</row>
    <row r="13" spans="1:76" ht="16">
      <c r="A13" s="2" t="s">
        <v>132</v>
      </c>
      <c r="B13" s="2" t="s">
        <v>133</v>
      </c>
      <c r="C13" s="2" t="s">
        <v>134</v>
      </c>
      <c r="D13" s="18">
        <v>46216</v>
      </c>
      <c r="E13" s="18">
        <v>46255</v>
      </c>
      <c r="F13" s="18">
        <v>46219</v>
      </c>
      <c r="G13" s="18">
        <v>46262</v>
      </c>
      <c r="H13" s="2">
        <v>40</v>
      </c>
      <c r="I13" s="2" t="s">
        <v>93</v>
      </c>
      <c r="J13" s="2">
        <v>0</v>
      </c>
      <c r="K13" s="2">
        <v>7</v>
      </c>
      <c r="L13" s="2" t="s">
        <v>87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 t="s">
        <v>838</v>
      </c>
      <c r="AC13" s="17" t="s">
        <v>838</v>
      </c>
      <c r="AD13" s="17" t="s">
        <v>838</v>
      </c>
      <c r="AE13" s="17" t="s">
        <v>838</v>
      </c>
      <c r="AF13" s="17" t="s">
        <v>838</v>
      </c>
      <c r="AG13" s="17" t="s">
        <v>838</v>
      </c>
      <c r="AH13" s="17" t="s">
        <v>838</v>
      </c>
      <c r="AI13" s="17" t="s">
        <v>838</v>
      </c>
      <c r="AJ13" s="17" t="s">
        <v>838</v>
      </c>
      <c r="AK13" s="17" t="s">
        <v>838</v>
      </c>
      <c r="AL13" s="17" t="s">
        <v>838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</row>
    <row r="14" spans="1:76" ht="16">
      <c r="A14" s="2" t="s">
        <v>136</v>
      </c>
      <c r="B14" s="2" t="s">
        <v>137</v>
      </c>
      <c r="C14" s="2" t="s">
        <v>132</v>
      </c>
      <c r="D14" s="18">
        <v>46237</v>
      </c>
      <c r="E14" s="18">
        <v>46269</v>
      </c>
      <c r="F14" s="18">
        <v>46244</v>
      </c>
      <c r="G14" s="18">
        <v>46276</v>
      </c>
      <c r="H14" s="2">
        <v>33</v>
      </c>
      <c r="I14" s="2" t="s">
        <v>93</v>
      </c>
      <c r="J14" s="2">
        <v>0</v>
      </c>
      <c r="K14" s="2">
        <v>7</v>
      </c>
      <c r="L14" s="2" t="s">
        <v>139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838</v>
      </c>
      <c r="AO14" s="17" t="s">
        <v>838</v>
      </c>
      <c r="AP14" s="17" t="s">
        <v>838</v>
      </c>
      <c r="AQ14" s="17" t="s">
        <v>838</v>
      </c>
      <c r="AR14" s="17" t="s">
        <v>838</v>
      </c>
      <c r="AS14" s="17" t="s">
        <v>838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</row>
    <row r="15" spans="1:76" ht="16">
      <c r="A15" s="2" t="s">
        <v>141</v>
      </c>
      <c r="B15" s="2" t="s">
        <v>143</v>
      </c>
      <c r="C15" s="2" t="s">
        <v>132</v>
      </c>
      <c r="D15" s="18">
        <v>46251</v>
      </c>
      <c r="E15" s="18">
        <v>46290</v>
      </c>
      <c r="F15" s="18">
        <v>46258</v>
      </c>
      <c r="G15" s="18">
        <v>46297</v>
      </c>
      <c r="H15" s="2">
        <v>40</v>
      </c>
      <c r="I15" s="2" t="s">
        <v>93</v>
      </c>
      <c r="J15" s="2">
        <v>0</v>
      </c>
      <c r="K15" s="2">
        <v>7</v>
      </c>
      <c r="L15" s="2" t="s">
        <v>139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 t="s">
        <v>838</v>
      </c>
      <c r="AR15" s="17" t="s">
        <v>838</v>
      </c>
      <c r="AS15" s="17" t="s">
        <v>838</v>
      </c>
      <c r="AT15" s="17" t="s">
        <v>838</v>
      </c>
      <c r="AU15" s="17" t="s">
        <v>838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</row>
    <row r="16" spans="1:76" ht="16">
      <c r="A16" s="2" t="s">
        <v>146</v>
      </c>
      <c r="B16" s="2" t="s">
        <v>147</v>
      </c>
      <c r="C16" s="2" t="s">
        <v>136</v>
      </c>
      <c r="D16" s="18">
        <v>46265</v>
      </c>
      <c r="E16" s="18">
        <v>46290</v>
      </c>
      <c r="F16" s="18">
        <v>46268</v>
      </c>
      <c r="G16" s="18">
        <v>46297</v>
      </c>
      <c r="H16" s="2">
        <v>26</v>
      </c>
      <c r="I16" s="2" t="s">
        <v>93</v>
      </c>
      <c r="J16" s="2">
        <v>0</v>
      </c>
      <c r="K16" s="2">
        <v>7</v>
      </c>
      <c r="L16" s="2" t="s">
        <v>139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 t="s">
        <v>838</v>
      </c>
      <c r="AT16" s="17" t="s">
        <v>838</v>
      </c>
      <c r="AU16" s="17" t="s">
        <v>838</v>
      </c>
      <c r="AV16" s="17" t="s">
        <v>838</v>
      </c>
      <c r="AW16" s="17" t="s">
        <v>838</v>
      </c>
      <c r="AX16" s="17" t="s">
        <v>838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</row>
    <row r="17" spans="1:76" ht="16">
      <c r="A17" s="2" t="s">
        <v>150</v>
      </c>
      <c r="B17" s="2" t="s">
        <v>151</v>
      </c>
      <c r="C17" s="2" t="s">
        <v>141</v>
      </c>
      <c r="D17" s="18">
        <v>46272</v>
      </c>
      <c r="E17" s="18">
        <v>46311</v>
      </c>
      <c r="F17" s="18">
        <v>46274</v>
      </c>
      <c r="G17" s="18">
        <v>46313</v>
      </c>
      <c r="H17" s="2">
        <v>40</v>
      </c>
      <c r="I17" s="2" t="s">
        <v>88</v>
      </c>
      <c r="J17" s="2">
        <v>7</v>
      </c>
      <c r="K17" s="2">
        <v>2</v>
      </c>
      <c r="L17" s="2" t="s">
        <v>139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838</v>
      </c>
      <c r="AV17" s="17" t="s">
        <v>838</v>
      </c>
      <c r="AW17" s="17" t="s">
        <v>838</v>
      </c>
      <c r="AX17" s="17" t="s">
        <v>838</v>
      </c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</row>
    <row r="18" spans="1:76" ht="16">
      <c r="A18" s="2" t="s">
        <v>154</v>
      </c>
      <c r="B18" s="2" t="s">
        <v>155</v>
      </c>
      <c r="C18" s="2" t="s">
        <v>116</v>
      </c>
      <c r="D18" s="18">
        <v>46160</v>
      </c>
      <c r="E18" s="18">
        <v>46220</v>
      </c>
      <c r="F18" s="18">
        <v>46162</v>
      </c>
      <c r="G18" s="18">
        <v>46224</v>
      </c>
      <c r="H18" s="2">
        <v>61</v>
      </c>
      <c r="I18" s="2" t="s">
        <v>88</v>
      </c>
      <c r="J18" s="2">
        <v>7</v>
      </c>
      <c r="K18" s="2">
        <v>4</v>
      </c>
      <c r="L18" s="2" t="s">
        <v>87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 t="s">
        <v>838</v>
      </c>
      <c r="AW18" s="17" t="s">
        <v>838</v>
      </c>
      <c r="AX18" s="17" t="s">
        <v>838</v>
      </c>
      <c r="AY18" s="17" t="s">
        <v>838</v>
      </c>
      <c r="AZ18" s="17" t="s">
        <v>838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</row>
    <row r="19" spans="1:76" ht="16">
      <c r="A19" s="2" t="s">
        <v>158</v>
      </c>
      <c r="B19" s="2" t="s">
        <v>159</v>
      </c>
      <c r="C19" s="2" t="s">
        <v>136</v>
      </c>
      <c r="D19" s="18">
        <v>46258</v>
      </c>
      <c r="E19" s="18">
        <v>46297</v>
      </c>
      <c r="F19" s="18">
        <v>46265</v>
      </c>
      <c r="G19" s="18">
        <v>46304</v>
      </c>
      <c r="H19" s="2">
        <v>40</v>
      </c>
      <c r="I19" s="2" t="s">
        <v>93</v>
      </c>
      <c r="J19" s="2">
        <v>0</v>
      </c>
      <c r="K19" s="2">
        <v>7</v>
      </c>
      <c r="L19" s="2" t="s">
        <v>139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 t="s">
        <v>838</v>
      </c>
      <c r="AG19" s="17" t="s">
        <v>838</v>
      </c>
      <c r="AH19" s="17" t="s">
        <v>838</v>
      </c>
      <c r="AI19" s="17" t="s">
        <v>838</v>
      </c>
      <c r="AJ19" s="17" t="s">
        <v>838</v>
      </c>
      <c r="AK19" s="17" t="s">
        <v>838</v>
      </c>
      <c r="AL19" s="17" t="s">
        <v>838</v>
      </c>
      <c r="AM19" s="17" t="s">
        <v>838</v>
      </c>
      <c r="AN19" s="17" t="s">
        <v>838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</row>
    <row r="20" spans="1:76" ht="16">
      <c r="A20" s="2" t="s">
        <v>161</v>
      </c>
      <c r="B20" s="2" t="s">
        <v>162</v>
      </c>
      <c r="C20" s="2" t="s">
        <v>158</v>
      </c>
      <c r="D20" s="18">
        <v>46279</v>
      </c>
      <c r="E20" s="18">
        <v>46318</v>
      </c>
      <c r="F20" s="18">
        <v>46286</v>
      </c>
      <c r="G20" s="18">
        <v>46325</v>
      </c>
      <c r="H20" s="2">
        <v>40</v>
      </c>
      <c r="I20" s="2" t="s">
        <v>93</v>
      </c>
      <c r="J20" s="2">
        <v>0</v>
      </c>
      <c r="K20" s="2">
        <v>7</v>
      </c>
      <c r="L20" s="2" t="s">
        <v>163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838</v>
      </c>
      <c r="AU20" s="17" t="s">
        <v>838</v>
      </c>
      <c r="AV20" s="17" t="s">
        <v>838</v>
      </c>
      <c r="AW20" s="17" t="s">
        <v>838</v>
      </c>
      <c r="AX20" s="17" t="s">
        <v>838</v>
      </c>
      <c r="AY20" s="17" t="s">
        <v>838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</row>
    <row r="21" spans="1:76" ht="16">
      <c r="A21" s="2" t="s">
        <v>165</v>
      </c>
      <c r="B21" s="2" t="s">
        <v>166</v>
      </c>
      <c r="C21" s="2" t="s">
        <v>102</v>
      </c>
      <c r="D21" s="18">
        <v>46146</v>
      </c>
      <c r="E21" s="18">
        <v>46304</v>
      </c>
      <c r="F21" s="18">
        <v>46146</v>
      </c>
      <c r="G21" s="18">
        <v>46306</v>
      </c>
      <c r="H21" s="2">
        <v>159</v>
      </c>
      <c r="I21" s="2" t="s">
        <v>93</v>
      </c>
      <c r="J21" s="2">
        <v>0</v>
      </c>
      <c r="K21" s="2">
        <v>2</v>
      </c>
      <c r="L21" s="2" t="s">
        <v>139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 t="s">
        <v>838</v>
      </c>
      <c r="AX21" s="17" t="s">
        <v>838</v>
      </c>
      <c r="AY21" s="17" t="s">
        <v>838</v>
      </c>
      <c r="AZ21" s="17" t="s">
        <v>838</v>
      </c>
      <c r="BA21" s="17" t="s">
        <v>838</v>
      </c>
      <c r="BB21" s="17" t="s">
        <v>838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</row>
    <row r="22" spans="1:76" ht="16">
      <c r="A22" s="2" t="s">
        <v>169</v>
      </c>
      <c r="B22" s="2" t="s">
        <v>170</v>
      </c>
      <c r="C22" s="2" t="s">
        <v>102</v>
      </c>
      <c r="D22" s="18">
        <v>46153</v>
      </c>
      <c r="E22" s="18">
        <v>46283</v>
      </c>
      <c r="F22" s="18">
        <v>46153</v>
      </c>
      <c r="G22" s="18">
        <v>46285</v>
      </c>
      <c r="H22" s="2">
        <v>131</v>
      </c>
      <c r="I22" s="2" t="s">
        <v>93</v>
      </c>
      <c r="J22" s="2">
        <v>0</v>
      </c>
      <c r="K22" s="2">
        <v>2</v>
      </c>
      <c r="L22" s="2" t="s">
        <v>139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 t="s">
        <v>838</v>
      </c>
      <c r="AD22" s="17" t="s">
        <v>838</v>
      </c>
      <c r="AE22" s="17" t="s">
        <v>838</v>
      </c>
      <c r="AF22" s="17" t="s">
        <v>838</v>
      </c>
      <c r="AG22" s="17" t="s">
        <v>838</v>
      </c>
      <c r="AH22" s="17" t="s">
        <v>838</v>
      </c>
      <c r="AI22" s="17" t="s">
        <v>838</v>
      </c>
      <c r="AJ22" s="17" t="s">
        <v>838</v>
      </c>
      <c r="AK22" s="17" t="s">
        <v>838</v>
      </c>
      <c r="AL22" s="17" t="s">
        <v>838</v>
      </c>
      <c r="AM22" s="17" t="s">
        <v>838</v>
      </c>
      <c r="AN22" s="17" t="s">
        <v>838</v>
      </c>
      <c r="AO22" s="17" t="s">
        <v>838</v>
      </c>
      <c r="AP22" s="17" t="s">
        <v>838</v>
      </c>
      <c r="AQ22" s="17" t="s">
        <v>838</v>
      </c>
      <c r="AR22" s="17" t="s">
        <v>838</v>
      </c>
      <c r="AS22" s="17" t="s">
        <v>838</v>
      </c>
      <c r="AT22" s="17" t="s">
        <v>838</v>
      </c>
      <c r="AU22" s="17" t="s">
        <v>838</v>
      </c>
      <c r="AV22" s="17" t="s">
        <v>838</v>
      </c>
      <c r="AW22" s="17" t="s">
        <v>838</v>
      </c>
      <c r="AX22" s="17" t="s">
        <v>838</v>
      </c>
      <c r="AY22" s="17" t="s">
        <v>838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</row>
    <row r="23" spans="1:76" ht="16">
      <c r="A23" s="2" t="s">
        <v>173</v>
      </c>
      <c r="B23" s="2" t="s">
        <v>175</v>
      </c>
      <c r="C23" s="2" t="s">
        <v>176</v>
      </c>
      <c r="D23" s="18">
        <v>46293</v>
      </c>
      <c r="E23" s="18">
        <v>46332</v>
      </c>
      <c r="F23" s="18">
        <v>46300</v>
      </c>
      <c r="G23" s="18">
        <v>46339</v>
      </c>
      <c r="H23" s="2">
        <v>40</v>
      </c>
      <c r="I23" s="2" t="s">
        <v>93</v>
      </c>
      <c r="J23" s="2">
        <v>0</v>
      </c>
      <c r="K23" s="2">
        <v>7</v>
      </c>
      <c r="L23" s="2" t="s">
        <v>163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 t="s">
        <v>838</v>
      </c>
      <c r="AE23" s="17" t="s">
        <v>838</v>
      </c>
      <c r="AF23" s="17" t="s">
        <v>838</v>
      </c>
      <c r="AG23" s="17" t="s">
        <v>838</v>
      </c>
      <c r="AH23" s="17" t="s">
        <v>838</v>
      </c>
      <c r="AI23" s="17" t="s">
        <v>838</v>
      </c>
      <c r="AJ23" s="17" t="s">
        <v>838</v>
      </c>
      <c r="AK23" s="17" t="s">
        <v>838</v>
      </c>
      <c r="AL23" s="17" t="s">
        <v>838</v>
      </c>
      <c r="AM23" s="17" t="s">
        <v>838</v>
      </c>
      <c r="AN23" s="17" t="s">
        <v>838</v>
      </c>
      <c r="AO23" s="17" t="s">
        <v>838</v>
      </c>
      <c r="AP23" s="17" t="s">
        <v>838</v>
      </c>
      <c r="AQ23" s="17" t="s">
        <v>838</v>
      </c>
      <c r="AR23" s="17" t="s">
        <v>838</v>
      </c>
      <c r="AS23" s="17" t="s">
        <v>838</v>
      </c>
      <c r="AT23" s="17" t="s">
        <v>838</v>
      </c>
      <c r="AU23" s="17" t="s">
        <v>838</v>
      </c>
      <c r="AV23" s="17" t="s">
        <v>838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</row>
    <row r="24" spans="1:76" ht="16">
      <c r="A24" s="2" t="s">
        <v>178</v>
      </c>
      <c r="B24" s="2" t="s">
        <v>179</v>
      </c>
      <c r="C24" s="2" t="s">
        <v>173</v>
      </c>
      <c r="D24" s="18">
        <v>46314</v>
      </c>
      <c r="E24" s="18">
        <v>46360</v>
      </c>
      <c r="F24" s="18">
        <v>46321</v>
      </c>
      <c r="G24" s="18">
        <v>46367</v>
      </c>
      <c r="H24" s="2">
        <v>47</v>
      </c>
      <c r="I24" s="2" t="s">
        <v>93</v>
      </c>
      <c r="J24" s="2">
        <v>0</v>
      </c>
      <c r="K24" s="2">
        <v>7</v>
      </c>
      <c r="L24" s="2" t="s">
        <v>163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 t="s">
        <v>838</v>
      </c>
      <c r="AZ24" s="17" t="s">
        <v>838</v>
      </c>
      <c r="BA24" s="17" t="s">
        <v>838</v>
      </c>
      <c r="BB24" s="17" t="s">
        <v>838</v>
      </c>
      <c r="BC24" s="17" t="s">
        <v>838</v>
      </c>
      <c r="BD24" s="17" t="s">
        <v>838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</row>
    <row r="25" spans="1:76" ht="16">
      <c r="A25" s="2" t="s">
        <v>181</v>
      </c>
      <c r="B25" s="2" t="s">
        <v>182</v>
      </c>
      <c r="C25" s="2" t="s">
        <v>178</v>
      </c>
      <c r="D25" s="18">
        <v>46349</v>
      </c>
      <c r="E25" s="18">
        <v>46402</v>
      </c>
      <c r="F25" s="18">
        <v>46349</v>
      </c>
      <c r="G25" s="18">
        <v>46402</v>
      </c>
      <c r="H25" s="2">
        <v>54</v>
      </c>
      <c r="I25" s="2" t="s">
        <v>88</v>
      </c>
      <c r="J25" s="2">
        <v>7</v>
      </c>
      <c r="K25" s="2">
        <v>0</v>
      </c>
      <c r="L25" s="2" t="s">
        <v>163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 t="s">
        <v>838</v>
      </c>
      <c r="BC25" s="17" t="s">
        <v>838</v>
      </c>
      <c r="BD25" s="17" t="s">
        <v>838</v>
      </c>
      <c r="BE25" s="17" t="s">
        <v>838</v>
      </c>
      <c r="BF25" s="17" t="s">
        <v>838</v>
      </c>
      <c r="BG25" s="17" t="s">
        <v>838</v>
      </c>
      <c r="BH25" s="17" t="s">
        <v>838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</row>
    <row r="26" spans="1:76" ht="16">
      <c r="A26" s="2" t="s">
        <v>184</v>
      </c>
      <c r="B26" s="2" t="s">
        <v>185</v>
      </c>
      <c r="C26" s="2" t="s">
        <v>178</v>
      </c>
      <c r="D26" s="18">
        <v>46356</v>
      </c>
      <c r="E26" s="18">
        <v>46409</v>
      </c>
      <c r="F26" s="18">
        <v>46356</v>
      </c>
      <c r="G26" s="18">
        <v>46409</v>
      </c>
      <c r="H26" s="2">
        <v>54</v>
      </c>
      <c r="I26" s="2" t="s">
        <v>88</v>
      </c>
      <c r="J26" s="2">
        <v>7</v>
      </c>
      <c r="K26" s="2">
        <v>0</v>
      </c>
      <c r="L26" s="2" t="s">
        <v>163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 t="s">
        <v>838</v>
      </c>
      <c r="BG26" s="17" t="s">
        <v>838</v>
      </c>
      <c r="BH26" s="17" t="s">
        <v>838</v>
      </c>
      <c r="BI26" s="17" t="s">
        <v>838</v>
      </c>
      <c r="BJ26" s="17" t="s">
        <v>838</v>
      </c>
      <c r="BK26" s="17" t="s">
        <v>838</v>
      </c>
      <c r="BL26" s="17" t="s">
        <v>838</v>
      </c>
      <c r="BM26" s="17" t="s">
        <v>838</v>
      </c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</row>
    <row r="27" spans="1:76" ht="16">
      <c r="A27" s="2" t="s">
        <v>187</v>
      </c>
      <c r="B27" s="2" t="s">
        <v>188</v>
      </c>
      <c r="C27" s="2" t="s">
        <v>178</v>
      </c>
      <c r="D27" s="18">
        <v>46363</v>
      </c>
      <c r="E27" s="18">
        <v>46416</v>
      </c>
      <c r="F27" s="18">
        <v>46363</v>
      </c>
      <c r="G27" s="18">
        <v>46416</v>
      </c>
      <c r="H27" s="2">
        <v>54</v>
      </c>
      <c r="I27" s="2" t="s">
        <v>88</v>
      </c>
      <c r="J27" s="2">
        <v>7</v>
      </c>
      <c r="K27" s="2">
        <v>0</v>
      </c>
      <c r="L27" s="2" t="s">
        <v>163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 t="s">
        <v>838</v>
      </c>
      <c r="BH27" s="17" t="s">
        <v>838</v>
      </c>
      <c r="BI27" s="17" t="s">
        <v>838</v>
      </c>
      <c r="BJ27" s="17" t="s">
        <v>838</v>
      </c>
      <c r="BK27" s="17" t="s">
        <v>838</v>
      </c>
      <c r="BL27" s="17" t="s">
        <v>838</v>
      </c>
      <c r="BM27" s="17" t="s">
        <v>838</v>
      </c>
      <c r="BN27" s="17" t="s">
        <v>838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</row>
    <row r="28" spans="1:76" ht="16">
      <c r="A28" s="2" t="s">
        <v>190</v>
      </c>
      <c r="B28" s="2" t="s">
        <v>191</v>
      </c>
      <c r="C28" s="2" t="s">
        <v>141</v>
      </c>
      <c r="D28" s="18">
        <v>46300</v>
      </c>
      <c r="E28" s="18">
        <v>46339</v>
      </c>
      <c r="F28" s="18">
        <v>46300</v>
      </c>
      <c r="G28" s="18">
        <v>46339</v>
      </c>
      <c r="H28" s="2">
        <v>40</v>
      </c>
      <c r="I28" s="2" t="s">
        <v>88</v>
      </c>
      <c r="J28" s="2">
        <v>7</v>
      </c>
      <c r="K28" s="2">
        <v>0</v>
      </c>
      <c r="L28" s="2" t="s">
        <v>163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 t="s">
        <v>838</v>
      </c>
      <c r="BI28" s="17" t="s">
        <v>838</v>
      </c>
      <c r="BJ28" s="17" t="s">
        <v>838</v>
      </c>
      <c r="BK28" s="17" t="s">
        <v>838</v>
      </c>
      <c r="BL28" s="17" t="s">
        <v>838</v>
      </c>
      <c r="BM28" s="17" t="s">
        <v>838</v>
      </c>
      <c r="BN28" s="17" t="s">
        <v>838</v>
      </c>
      <c r="BO28" s="17" t="s">
        <v>838</v>
      </c>
      <c r="BP28" s="17"/>
      <c r="BQ28" s="17"/>
      <c r="BR28" s="17"/>
      <c r="BS28" s="17"/>
      <c r="BT28" s="17"/>
      <c r="BU28" s="17"/>
      <c r="BV28" s="17"/>
      <c r="BW28" s="17"/>
      <c r="BX28" s="17"/>
    </row>
    <row r="29" spans="1:76" ht="16">
      <c r="A29" s="2" t="s">
        <v>192</v>
      </c>
      <c r="B29" s="2" t="s">
        <v>193</v>
      </c>
      <c r="C29" s="2" t="s">
        <v>190</v>
      </c>
      <c r="D29" s="18">
        <v>46391</v>
      </c>
      <c r="E29" s="18">
        <v>46423</v>
      </c>
      <c r="F29" s="18">
        <v>46391</v>
      </c>
      <c r="G29" s="18">
        <v>46423</v>
      </c>
      <c r="H29" s="2">
        <v>33</v>
      </c>
      <c r="I29" s="2" t="s">
        <v>88</v>
      </c>
      <c r="J29" s="2">
        <v>7</v>
      </c>
      <c r="K29" s="2">
        <v>0</v>
      </c>
      <c r="L29" s="2" t="s">
        <v>163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 t="s">
        <v>838</v>
      </c>
      <c r="AZ29" s="17" t="s">
        <v>838</v>
      </c>
      <c r="BA29" s="17" t="s">
        <v>838</v>
      </c>
      <c r="BB29" s="17" t="s">
        <v>838</v>
      </c>
      <c r="BC29" s="17" t="s">
        <v>838</v>
      </c>
      <c r="BD29" s="17" t="s">
        <v>838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</row>
    <row r="30" spans="1:76" ht="16">
      <c r="A30" s="2" t="s">
        <v>195</v>
      </c>
      <c r="B30" s="2" t="s">
        <v>197</v>
      </c>
      <c r="C30" s="2" t="s">
        <v>199</v>
      </c>
      <c r="D30" s="18">
        <v>46398</v>
      </c>
      <c r="E30" s="18">
        <v>46430</v>
      </c>
      <c r="F30" s="18">
        <v>46405</v>
      </c>
      <c r="G30" s="18">
        <v>46437</v>
      </c>
      <c r="H30" s="2">
        <v>33</v>
      </c>
      <c r="I30" s="2" t="s">
        <v>93</v>
      </c>
      <c r="J30" s="2">
        <v>0</v>
      </c>
      <c r="K30" s="2">
        <v>7</v>
      </c>
      <c r="L30" s="2" t="s">
        <v>163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 t="s">
        <v>838</v>
      </c>
      <c r="BM30" s="17" t="s">
        <v>838</v>
      </c>
      <c r="BN30" s="17" t="s">
        <v>838</v>
      </c>
      <c r="BO30" s="17" t="s">
        <v>838</v>
      </c>
      <c r="BP30" s="17" t="s">
        <v>838</v>
      </c>
      <c r="BQ30" s="17"/>
      <c r="BR30" s="17"/>
      <c r="BS30" s="17"/>
      <c r="BT30" s="17"/>
      <c r="BU30" s="17"/>
      <c r="BV30" s="17"/>
      <c r="BW30" s="17"/>
      <c r="BX30" s="17"/>
    </row>
    <row r="31" spans="1:76" ht="16">
      <c r="A31" s="2" t="s">
        <v>200</v>
      </c>
      <c r="B31" s="2" t="s">
        <v>201</v>
      </c>
      <c r="C31" s="2" t="s">
        <v>195</v>
      </c>
      <c r="D31" s="18">
        <v>46419</v>
      </c>
      <c r="E31" s="18">
        <v>46444</v>
      </c>
      <c r="F31" s="18">
        <v>46426</v>
      </c>
      <c r="G31" s="18">
        <v>46451</v>
      </c>
      <c r="H31" s="2">
        <v>26</v>
      </c>
      <c r="I31" s="2" t="s">
        <v>93</v>
      </c>
      <c r="J31" s="2">
        <v>0</v>
      </c>
      <c r="K31" s="2">
        <v>7</v>
      </c>
      <c r="L31" s="2" t="s">
        <v>163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 t="s">
        <v>838</v>
      </c>
      <c r="BO31" s="17" t="s">
        <v>838</v>
      </c>
      <c r="BP31" s="17" t="s">
        <v>838</v>
      </c>
      <c r="BQ31" s="17" t="s">
        <v>838</v>
      </c>
      <c r="BR31" s="17" t="s">
        <v>838</v>
      </c>
      <c r="BS31" s="17"/>
      <c r="BT31" s="17"/>
      <c r="BU31" s="17"/>
      <c r="BV31" s="17"/>
      <c r="BW31" s="17"/>
      <c r="BX31" s="17"/>
    </row>
    <row r="32" spans="1:76" ht="16">
      <c r="A32" s="2" t="s">
        <v>203</v>
      </c>
      <c r="B32" s="2" t="s">
        <v>205</v>
      </c>
      <c r="C32" s="2" t="s">
        <v>207</v>
      </c>
      <c r="D32" s="18">
        <v>46433</v>
      </c>
      <c r="E32" s="18">
        <v>46451</v>
      </c>
      <c r="F32" s="18">
        <v>46440</v>
      </c>
      <c r="G32" s="18">
        <v>46458</v>
      </c>
      <c r="H32" s="2">
        <v>19</v>
      </c>
      <c r="I32" s="2" t="s">
        <v>93</v>
      </c>
      <c r="J32" s="2">
        <v>0</v>
      </c>
      <c r="K32" s="2">
        <v>7</v>
      </c>
      <c r="L32" s="2" t="s">
        <v>163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838</v>
      </c>
      <c r="BR32" s="17" t="s">
        <v>838</v>
      </c>
      <c r="BS32" s="17" t="s">
        <v>838</v>
      </c>
      <c r="BT32" s="17" t="s">
        <v>838</v>
      </c>
      <c r="BU32" s="17"/>
      <c r="BV32" s="17"/>
      <c r="BW32" s="17"/>
      <c r="BX32" s="17"/>
    </row>
    <row r="33" spans="1:76" ht="16">
      <c r="A33" s="2" t="s">
        <v>208</v>
      </c>
      <c r="B33" s="2" t="s">
        <v>209</v>
      </c>
      <c r="C33" s="2" t="s">
        <v>195</v>
      </c>
      <c r="D33" s="18">
        <v>46440</v>
      </c>
      <c r="E33" s="18">
        <v>46458</v>
      </c>
      <c r="F33" s="18">
        <v>46440</v>
      </c>
      <c r="G33" s="18">
        <v>46458</v>
      </c>
      <c r="H33" s="2">
        <v>19</v>
      </c>
      <c r="I33" s="2" t="s">
        <v>88</v>
      </c>
      <c r="J33" s="2">
        <v>7</v>
      </c>
      <c r="K33" s="2">
        <v>0</v>
      </c>
      <c r="L33" s="2" t="s">
        <v>163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 t="s">
        <v>838</v>
      </c>
      <c r="BT33" s="17" t="s">
        <v>838</v>
      </c>
      <c r="BU33" s="17" t="s">
        <v>838</v>
      </c>
      <c r="BV33" s="17"/>
      <c r="BW33" s="17"/>
      <c r="BX33" s="17"/>
    </row>
    <row r="34" spans="1:76" ht="16">
      <c r="A34" s="2" t="s">
        <v>211</v>
      </c>
      <c r="B34" s="2" t="s">
        <v>212</v>
      </c>
      <c r="C34" s="2" t="s">
        <v>203</v>
      </c>
      <c r="D34" s="18">
        <v>46454</v>
      </c>
      <c r="E34" s="18">
        <v>46458</v>
      </c>
      <c r="F34" s="18">
        <v>46461</v>
      </c>
      <c r="G34" s="18">
        <v>46465</v>
      </c>
      <c r="H34" s="2">
        <v>5</v>
      </c>
      <c r="I34" s="2" t="s">
        <v>93</v>
      </c>
      <c r="J34" s="2">
        <v>0</v>
      </c>
      <c r="K34" s="2">
        <v>7</v>
      </c>
      <c r="L34" s="2" t="s">
        <v>163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 t="s">
        <v>838</v>
      </c>
      <c r="BT34" s="17" t="s">
        <v>838</v>
      </c>
      <c r="BU34" s="17" t="s">
        <v>838</v>
      </c>
      <c r="BV34" s="17"/>
      <c r="BW34" s="17"/>
      <c r="BX34" s="17"/>
    </row>
    <row r="35" spans="1:76" ht="16">
      <c r="A35" s="2" t="s">
        <v>213</v>
      </c>
      <c r="B35" s="2" t="s">
        <v>214</v>
      </c>
      <c r="C35" s="2" t="s">
        <v>215</v>
      </c>
      <c r="D35" s="18">
        <v>46461</v>
      </c>
      <c r="E35" s="18">
        <v>46465</v>
      </c>
      <c r="F35" s="18">
        <v>46468</v>
      </c>
      <c r="G35" s="18">
        <v>46472</v>
      </c>
      <c r="H35" s="2">
        <v>5</v>
      </c>
      <c r="I35" s="2" t="s">
        <v>93</v>
      </c>
      <c r="J35" s="2">
        <v>0</v>
      </c>
      <c r="K35" s="2">
        <v>7</v>
      </c>
      <c r="L35" s="2" t="s">
        <v>163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 t="s">
        <v>838</v>
      </c>
      <c r="BW35" s="17"/>
      <c r="BX35" s="17"/>
    </row>
    <row r="36" spans="1:76">
      <c r="D36" s="19"/>
      <c r="E36" s="19"/>
      <c r="F36" s="19"/>
      <c r="G36" s="19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 t="s">
        <v>838</v>
      </c>
      <c r="BX36" s="17"/>
    </row>
    <row r="37" spans="1:76">
      <c r="D37" s="19"/>
      <c r="E37" s="19"/>
      <c r="F37" s="19"/>
      <c r="G37" s="19"/>
    </row>
    <row r="38" spans="1:76">
      <c r="D38" s="19"/>
      <c r="E38" s="19"/>
      <c r="F38" s="19"/>
      <c r="G38" s="19"/>
    </row>
    <row r="39" spans="1:76">
      <c r="D39" s="19"/>
      <c r="E39" s="19"/>
      <c r="F39" s="19"/>
      <c r="G39" s="19"/>
    </row>
    <row r="40" spans="1:76">
      <c r="D40" s="19"/>
      <c r="E40" s="19"/>
      <c r="F40" s="19"/>
      <c r="G40" s="19"/>
    </row>
  </sheetData>
  <conditionalFormatting sqref="I2:I40">
    <cfRule type="expression" dxfId="1" priority="1">
      <formula>I2="Yes"</formula>
    </cfRule>
  </conditionalFormatting>
  <conditionalFormatting sqref="K2:K40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"/>
  <sheetViews>
    <sheetView workbookViewId="0"/>
  </sheetViews>
  <sheetFormatPr baseColWidth="10" defaultColWidth="8.83203125" defaultRowHeight="15"/>
  <cols>
    <col min="1" max="8" width="16" customWidth="1"/>
    <col min="11" max="11" width="11.83203125" customWidth="1"/>
    <col min="13" max="13" width="22.33203125" customWidth="1"/>
    <col min="14" max="14" width="14.1640625" customWidth="1"/>
  </cols>
  <sheetData>
    <row r="1" spans="1:14" ht="17">
      <c r="A1" s="13" t="s">
        <v>839</v>
      </c>
      <c r="B1" s="13" t="s">
        <v>840</v>
      </c>
      <c r="C1" s="13" t="s">
        <v>841</v>
      </c>
      <c r="D1" s="13" t="s">
        <v>842</v>
      </c>
      <c r="E1" s="13" t="s">
        <v>843</v>
      </c>
      <c r="F1" s="13" t="s">
        <v>844</v>
      </c>
      <c r="G1" s="13" t="s">
        <v>845</v>
      </c>
      <c r="H1" s="13" t="s">
        <v>846</v>
      </c>
      <c r="J1" s="37" t="s">
        <v>847</v>
      </c>
      <c r="K1" s="37"/>
      <c r="L1" s="37"/>
      <c r="M1" s="37"/>
      <c r="N1" s="37"/>
    </row>
    <row r="2" spans="1:14">
      <c r="A2" s="20">
        <v>46023</v>
      </c>
      <c r="B2" s="8">
        <v>450000</v>
      </c>
      <c r="C2" s="8">
        <v>430000</v>
      </c>
      <c r="D2" s="8">
        <v>470000</v>
      </c>
      <c r="E2" s="21">
        <v>0.95555555555555549</v>
      </c>
      <c r="F2" s="21">
        <v>0.91489361702127658</v>
      </c>
      <c r="G2" s="22">
        <v>-20000.000000000018</v>
      </c>
      <c r="H2" s="22">
        <v>-39999.999999999978</v>
      </c>
    </row>
    <row r="3" spans="1:14">
      <c r="A3" s="20">
        <v>46054</v>
      </c>
      <c r="B3" s="8">
        <v>1200000</v>
      </c>
      <c r="C3" s="8">
        <v>1150000</v>
      </c>
      <c r="D3" s="8">
        <v>1240000</v>
      </c>
      <c r="E3" s="21">
        <v>0.95833333333333326</v>
      </c>
      <c r="F3" s="21">
        <v>0.92741935483870963</v>
      </c>
      <c r="G3" s="22">
        <v>-50000.000000000044</v>
      </c>
      <c r="H3" s="22">
        <v>-90000.000000000073</v>
      </c>
      <c r="J3" s="15" t="s">
        <v>848</v>
      </c>
      <c r="K3" s="15" t="s">
        <v>849</v>
      </c>
      <c r="M3" s="15" t="s">
        <v>848</v>
      </c>
      <c r="N3" s="15" t="s">
        <v>849</v>
      </c>
    </row>
    <row r="4" spans="1:14">
      <c r="A4" s="20">
        <v>46082</v>
      </c>
      <c r="B4" s="8">
        <v>2350000</v>
      </c>
      <c r="C4" s="8">
        <v>2250000</v>
      </c>
      <c r="D4" s="8">
        <v>2380000</v>
      </c>
      <c r="E4" s="21">
        <v>0.95744680851063824</v>
      </c>
      <c r="F4" s="21">
        <v>0.94537815126050428</v>
      </c>
      <c r="G4" s="22">
        <v>-100000.00000000009</v>
      </c>
      <c r="H4" s="22">
        <v>-129999.9999999999</v>
      </c>
      <c r="J4" t="s">
        <v>850</v>
      </c>
      <c r="K4" s="8">
        <v>20600000</v>
      </c>
      <c r="M4" t="s">
        <v>844</v>
      </c>
      <c r="N4" s="21">
        <v>1.232501223690651</v>
      </c>
    </row>
    <row r="5" spans="1:14">
      <c r="A5" s="20">
        <v>46113</v>
      </c>
      <c r="B5" s="8">
        <v>4099999.9999999995</v>
      </c>
      <c r="C5" s="8">
        <v>3920000</v>
      </c>
      <c r="D5" s="8">
        <v>4080000</v>
      </c>
      <c r="E5" s="21">
        <v>0.95609756097560983</v>
      </c>
      <c r="F5" s="21">
        <v>0.96078431372549011</v>
      </c>
      <c r="G5" s="22">
        <v>-179999.99999999971</v>
      </c>
      <c r="H5" s="22">
        <v>-160000.00000000015</v>
      </c>
      <c r="J5" t="s">
        <v>840</v>
      </c>
      <c r="K5" s="8">
        <v>13050000</v>
      </c>
      <c r="M5" t="s">
        <v>851</v>
      </c>
      <c r="N5" s="21">
        <v>16713979.348689437</v>
      </c>
    </row>
    <row r="6" spans="1:14">
      <c r="A6" s="20">
        <v>46143</v>
      </c>
      <c r="B6" s="8">
        <v>6250000</v>
      </c>
      <c r="C6" s="8">
        <v>5980000</v>
      </c>
      <c r="D6" s="8">
        <v>6100000</v>
      </c>
      <c r="E6" s="21">
        <v>0.95680000000000009</v>
      </c>
      <c r="F6" s="21">
        <v>0.98032786885245915</v>
      </c>
      <c r="G6" s="22">
        <v>-269999.99999999959</v>
      </c>
      <c r="H6" s="22">
        <v>-119999.99999999921</v>
      </c>
      <c r="J6" t="s">
        <v>841</v>
      </c>
      <c r="K6" s="8">
        <v>12590000</v>
      </c>
      <c r="M6" t="s">
        <v>852</v>
      </c>
      <c r="N6" s="22">
        <v>3886020.6513105631</v>
      </c>
    </row>
    <row r="7" spans="1:14">
      <c r="A7" s="20">
        <v>46174</v>
      </c>
      <c r="B7" s="8">
        <v>8350000</v>
      </c>
      <c r="C7" s="8">
        <v>7960000</v>
      </c>
      <c r="D7" s="8">
        <v>8050000.0000000009</v>
      </c>
      <c r="E7" s="21">
        <v>0.95329341317365268</v>
      </c>
      <c r="F7" s="21">
        <v>0.98881987577639741</v>
      </c>
      <c r="G7" s="22">
        <v>-389999.99999999971</v>
      </c>
      <c r="H7" s="22">
        <v>-90000.000000000742</v>
      </c>
      <c r="J7" t="s">
        <v>842</v>
      </c>
      <c r="K7" s="21">
        <v>10215000</v>
      </c>
      <c r="M7" t="s">
        <v>853</v>
      </c>
      <c r="N7" s="22">
        <v>0.77130476649013002</v>
      </c>
    </row>
    <row r="8" spans="1:14">
      <c r="A8" s="20">
        <v>46204</v>
      </c>
      <c r="B8" s="8">
        <v>10100000</v>
      </c>
      <c r="C8" s="8">
        <v>9720000</v>
      </c>
      <c r="D8" s="8">
        <v>9550000</v>
      </c>
      <c r="E8" s="21">
        <v>0.96237623762376245</v>
      </c>
      <c r="F8" s="21">
        <v>1.0178010471204189</v>
      </c>
      <c r="G8" s="22">
        <v>-379999.99999999901</v>
      </c>
      <c r="H8" s="22">
        <v>169999.99999999994</v>
      </c>
      <c r="J8" t="s">
        <v>843</v>
      </c>
      <c r="K8" s="21">
        <v>0.96475095785440612</v>
      </c>
      <c r="M8" t="s">
        <v>854</v>
      </c>
      <c r="N8" s="22">
        <v>-460000</v>
      </c>
    </row>
    <row r="9" spans="1:14">
      <c r="A9" s="20">
        <v>46235</v>
      </c>
      <c r="B9" s="8">
        <v>11850000</v>
      </c>
      <c r="C9" s="8">
        <v>11380000</v>
      </c>
      <c r="D9" s="8">
        <v>10050000</v>
      </c>
      <c r="E9" s="21">
        <v>0.96033755274261612</v>
      </c>
      <c r="F9" s="21">
        <v>1.1323383084577114</v>
      </c>
      <c r="G9" s="22">
        <v>-469999.99999999884</v>
      </c>
      <c r="H9" s="22">
        <v>1330000</v>
      </c>
    </row>
    <row r="10" spans="1:14">
      <c r="A10" s="20">
        <v>46266</v>
      </c>
      <c r="B10" s="8">
        <v>13050000</v>
      </c>
      <c r="C10" s="8">
        <v>12590000</v>
      </c>
      <c r="D10" s="8">
        <v>10215000</v>
      </c>
      <c r="E10" s="21">
        <v>0.96475095785440612</v>
      </c>
      <c r="F10" s="21">
        <v>1.232501223690651</v>
      </c>
      <c r="G10" s="22">
        <v>-460000.00000000087</v>
      </c>
      <c r="H10" s="22">
        <v>2375000</v>
      </c>
    </row>
  </sheetData>
  <mergeCells count="1">
    <mergeCell ref="J1:N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tabSelected="1" workbookViewId="0">
      <selection sqref="A1:H1"/>
    </sheetView>
  </sheetViews>
  <sheetFormatPr baseColWidth="10" defaultColWidth="8.83203125" defaultRowHeight="15"/>
  <cols>
    <col min="1" max="1" width="14" customWidth="1"/>
    <col min="2" max="2" width="18" customWidth="1"/>
    <col min="3" max="3" width="36" customWidth="1"/>
    <col min="4" max="5" width="18" customWidth="1"/>
    <col min="6" max="6" width="52" customWidth="1"/>
    <col min="7" max="7" width="14" customWidth="1"/>
    <col min="8" max="8" width="16" customWidth="1"/>
  </cols>
  <sheetData>
    <row r="1" spans="1:8" ht="18">
      <c r="A1" s="38" t="s">
        <v>855</v>
      </c>
      <c r="B1" s="38"/>
      <c r="C1" s="38"/>
      <c r="D1" s="38"/>
      <c r="E1" s="38"/>
      <c r="F1" s="38"/>
      <c r="G1" s="38"/>
      <c r="H1" s="38"/>
    </row>
    <row r="3" spans="1:8" ht="16">
      <c r="A3" s="23" t="s">
        <v>856</v>
      </c>
      <c r="B3" s="23" t="s">
        <v>857</v>
      </c>
      <c r="C3" s="23" t="s">
        <v>323</v>
      </c>
      <c r="D3" s="23" t="s">
        <v>858</v>
      </c>
      <c r="E3" s="23" t="s">
        <v>79</v>
      </c>
      <c r="F3" s="23" t="s">
        <v>859</v>
      </c>
      <c r="G3" s="23" t="s">
        <v>860</v>
      </c>
      <c r="H3" s="23" t="s">
        <v>329</v>
      </c>
    </row>
    <row r="4" spans="1:8" ht="32">
      <c r="A4" s="2" t="s">
        <v>354</v>
      </c>
      <c r="B4" s="2" t="s">
        <v>861</v>
      </c>
      <c r="C4" s="2" t="s">
        <v>862</v>
      </c>
      <c r="D4" s="2" t="s">
        <v>863</v>
      </c>
      <c r="E4" s="2" t="s">
        <v>283</v>
      </c>
      <c r="F4" s="2" t="s">
        <v>864</v>
      </c>
      <c r="G4" s="2" t="s">
        <v>865</v>
      </c>
      <c r="H4" s="2" t="s">
        <v>866</v>
      </c>
    </row>
    <row r="5" spans="1:8" ht="32">
      <c r="A5" s="2" t="s">
        <v>867</v>
      </c>
      <c r="B5" s="2" t="s">
        <v>868</v>
      </c>
      <c r="C5" s="2" t="s">
        <v>869</v>
      </c>
      <c r="D5" s="2" t="s">
        <v>53</v>
      </c>
      <c r="E5" s="2" t="s">
        <v>870</v>
      </c>
      <c r="F5" s="2" t="s">
        <v>871</v>
      </c>
      <c r="G5" s="2" t="s">
        <v>872</v>
      </c>
      <c r="H5" s="2" t="s">
        <v>873</v>
      </c>
    </row>
    <row r="6" spans="1:8" ht="32">
      <c r="A6" s="2" t="s">
        <v>490</v>
      </c>
      <c r="B6" s="2" t="s">
        <v>874</v>
      </c>
      <c r="C6" s="2" t="s">
        <v>875</v>
      </c>
      <c r="D6" s="2" t="s">
        <v>876</v>
      </c>
      <c r="E6" s="2" t="s">
        <v>408</v>
      </c>
      <c r="F6" s="2" t="s">
        <v>877</v>
      </c>
      <c r="G6" s="2" t="s">
        <v>878</v>
      </c>
      <c r="H6" s="2" t="s">
        <v>879</v>
      </c>
    </row>
    <row r="7" spans="1:8" ht="32">
      <c r="A7" s="2" t="s">
        <v>880</v>
      </c>
      <c r="B7" s="2" t="s">
        <v>881</v>
      </c>
      <c r="C7" s="2" t="s">
        <v>882</v>
      </c>
      <c r="D7" s="2" t="s">
        <v>108</v>
      </c>
      <c r="E7" s="2" t="s">
        <v>87</v>
      </c>
      <c r="F7" s="2" t="s">
        <v>883</v>
      </c>
      <c r="G7" s="2" t="s">
        <v>884</v>
      </c>
      <c r="H7" s="2" t="s">
        <v>812</v>
      </c>
    </row>
    <row r="8" spans="1:8" ht="32">
      <c r="A8" s="2" t="s">
        <v>885</v>
      </c>
      <c r="B8" s="2" t="s">
        <v>886</v>
      </c>
      <c r="C8" s="2" t="s">
        <v>887</v>
      </c>
      <c r="D8" s="2" t="s">
        <v>86</v>
      </c>
      <c r="E8" s="2" t="s">
        <v>87</v>
      </c>
      <c r="F8" s="2" t="s">
        <v>888</v>
      </c>
      <c r="G8" s="2" t="s">
        <v>889</v>
      </c>
      <c r="H8" s="2" t="s">
        <v>812</v>
      </c>
    </row>
    <row r="10" spans="1:8">
      <c r="A10" s="39" t="s">
        <v>890</v>
      </c>
      <c r="B10" s="39"/>
      <c r="C10" s="39"/>
      <c r="D10" s="39"/>
      <c r="E10" s="39"/>
      <c r="F10" s="39"/>
      <c r="G10" s="39"/>
      <c r="H10" s="39"/>
    </row>
    <row r="11" spans="1:8" ht="16">
      <c r="A11" s="24" t="s">
        <v>891</v>
      </c>
      <c r="B11" s="24" t="s">
        <v>892</v>
      </c>
      <c r="C11" s="24" t="s">
        <v>893</v>
      </c>
      <c r="D11" s="24" t="s">
        <v>28</v>
      </c>
      <c r="E11" s="24" t="s">
        <v>894</v>
      </c>
      <c r="F11" s="24" t="s">
        <v>79</v>
      </c>
      <c r="G11" s="24" t="s">
        <v>551</v>
      </c>
      <c r="H11" s="24" t="s">
        <v>895</v>
      </c>
    </row>
    <row r="12" spans="1:8" ht="32">
      <c r="A12" s="2" t="s">
        <v>896</v>
      </c>
      <c r="B12" s="2" t="s">
        <v>42</v>
      </c>
      <c r="C12" s="2" t="s">
        <v>897</v>
      </c>
      <c r="D12" s="2" t="s">
        <v>108</v>
      </c>
      <c r="E12" s="2" t="s">
        <v>898</v>
      </c>
      <c r="F12" s="2" t="s">
        <v>385</v>
      </c>
      <c r="G12" s="2" t="s">
        <v>899</v>
      </c>
      <c r="H12" s="2" t="s">
        <v>900</v>
      </c>
    </row>
    <row r="13" spans="1:8" ht="48">
      <c r="A13" s="2" t="s">
        <v>901</v>
      </c>
      <c r="B13" s="2" t="s">
        <v>902</v>
      </c>
      <c r="C13" s="2" t="s">
        <v>903</v>
      </c>
      <c r="D13" s="2" t="s">
        <v>904</v>
      </c>
      <c r="E13" s="2" t="s">
        <v>905</v>
      </c>
      <c r="F13" s="2" t="s">
        <v>385</v>
      </c>
      <c r="G13" s="2" t="s">
        <v>906</v>
      </c>
      <c r="H13" s="2" t="s">
        <v>907</v>
      </c>
    </row>
    <row r="14" spans="1:8" ht="32">
      <c r="A14" s="2" t="s">
        <v>908</v>
      </c>
      <c r="B14" s="2" t="s">
        <v>909</v>
      </c>
      <c r="C14" s="2" t="s">
        <v>910</v>
      </c>
      <c r="D14" s="2" t="s">
        <v>911</v>
      </c>
      <c r="E14" s="2" t="s">
        <v>912</v>
      </c>
      <c r="F14" s="2" t="s">
        <v>385</v>
      </c>
      <c r="G14" s="2" t="s">
        <v>913</v>
      </c>
      <c r="H14" s="2" t="s">
        <v>388</v>
      </c>
    </row>
    <row r="15" spans="1:8" ht="32">
      <c r="A15" s="2" t="s">
        <v>914</v>
      </c>
      <c r="B15" s="2" t="s">
        <v>915</v>
      </c>
      <c r="C15" s="2" t="s">
        <v>916</v>
      </c>
      <c r="D15" s="2" t="s">
        <v>917</v>
      </c>
      <c r="E15" s="2" t="s">
        <v>918</v>
      </c>
      <c r="F15" s="2" t="s">
        <v>385</v>
      </c>
      <c r="G15" s="2" t="s">
        <v>919</v>
      </c>
      <c r="H15" s="2" t="s">
        <v>920</v>
      </c>
    </row>
    <row r="16" spans="1:8" ht="48">
      <c r="A16" s="2" t="s">
        <v>921</v>
      </c>
      <c r="B16" s="2" t="s">
        <v>55</v>
      </c>
      <c r="C16" s="2" t="s">
        <v>922</v>
      </c>
      <c r="D16" s="2" t="s">
        <v>108</v>
      </c>
      <c r="E16" s="2" t="s">
        <v>923</v>
      </c>
      <c r="F16" s="2" t="s">
        <v>283</v>
      </c>
      <c r="G16" s="2" t="s">
        <v>924</v>
      </c>
      <c r="H16" s="2" t="s">
        <v>925</v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0"/>
  <sheetViews>
    <sheetView workbookViewId="0"/>
  </sheetViews>
  <sheetFormatPr baseColWidth="10" defaultColWidth="8.83203125" defaultRowHeight="15"/>
  <cols>
    <col min="1" max="1" width="20" customWidth="1"/>
    <col min="2" max="2" width="30" customWidth="1"/>
    <col min="3" max="4" width="28" customWidth="1"/>
    <col min="5" max="8" width="16" customWidth="1"/>
  </cols>
  <sheetData>
    <row r="1" spans="1:8" ht="21">
      <c r="A1" s="40" t="s">
        <v>926</v>
      </c>
      <c r="B1" s="40"/>
      <c r="C1" s="40"/>
      <c r="D1" s="40"/>
      <c r="E1" s="40"/>
      <c r="F1" s="40"/>
      <c r="G1" s="40"/>
      <c r="H1" s="40"/>
    </row>
    <row r="2" spans="1:8">
      <c r="A2" s="25"/>
      <c r="B2" s="25"/>
      <c r="C2" s="25"/>
      <c r="D2" s="25"/>
      <c r="E2" s="25"/>
      <c r="F2" s="25"/>
      <c r="G2" s="25"/>
      <c r="H2" s="25"/>
    </row>
    <row r="3" spans="1:8">
      <c r="A3" s="26" t="s">
        <v>927</v>
      </c>
      <c r="B3" s="25" t="s">
        <v>928</v>
      </c>
      <c r="C3" s="25"/>
      <c r="D3" s="25"/>
      <c r="E3" s="25"/>
      <c r="F3" s="25"/>
      <c r="G3" s="25"/>
      <c r="H3" s="25"/>
    </row>
    <row r="4" spans="1:8">
      <c r="A4" s="26" t="s">
        <v>929</v>
      </c>
      <c r="B4" s="25" t="s">
        <v>930</v>
      </c>
      <c r="C4" s="25"/>
      <c r="D4" s="25"/>
      <c r="E4" s="25"/>
      <c r="F4" s="25"/>
      <c r="G4" s="25"/>
      <c r="H4" s="25"/>
    </row>
    <row r="5" spans="1:8">
      <c r="A5" s="26" t="s">
        <v>931</v>
      </c>
      <c r="B5" s="25" t="s">
        <v>932</v>
      </c>
      <c r="C5" s="25"/>
      <c r="D5" s="25"/>
      <c r="E5" s="25"/>
      <c r="F5" s="25"/>
      <c r="G5" s="25"/>
      <c r="H5" s="25"/>
    </row>
    <row r="6" spans="1:8">
      <c r="A6" s="26" t="s">
        <v>1</v>
      </c>
      <c r="B6" s="25" t="s">
        <v>933</v>
      </c>
      <c r="C6" s="25"/>
      <c r="D6" s="25"/>
      <c r="E6" s="25"/>
      <c r="F6" s="25"/>
      <c r="G6" s="25"/>
      <c r="H6" s="25"/>
    </row>
    <row r="7" spans="1:8">
      <c r="A7" s="26" t="s">
        <v>831</v>
      </c>
      <c r="B7" s="25" t="s">
        <v>934</v>
      </c>
      <c r="C7" s="25"/>
      <c r="D7" s="25"/>
      <c r="E7" s="25"/>
      <c r="F7" s="25"/>
      <c r="G7" s="25"/>
      <c r="H7" s="25"/>
    </row>
    <row r="8" spans="1:8">
      <c r="A8" s="26" t="s">
        <v>935</v>
      </c>
      <c r="B8" s="25" t="s">
        <v>936</v>
      </c>
      <c r="C8" s="25"/>
      <c r="D8" s="25"/>
      <c r="E8" s="25"/>
      <c r="F8" s="25"/>
      <c r="G8" s="25"/>
      <c r="H8" s="25"/>
    </row>
    <row r="9" spans="1:8">
      <c r="A9" s="26" t="s">
        <v>55</v>
      </c>
      <c r="B9" s="25" t="s">
        <v>937</v>
      </c>
      <c r="C9" s="25"/>
      <c r="D9" s="25"/>
      <c r="E9" s="25"/>
      <c r="F9" s="25"/>
      <c r="G9" s="25"/>
      <c r="H9" s="25"/>
    </row>
    <row r="10" spans="1:8">
      <c r="A10" s="26" t="s">
        <v>938</v>
      </c>
      <c r="B10" s="25" t="s">
        <v>939</v>
      </c>
      <c r="C10" s="25"/>
      <c r="D10" s="25"/>
      <c r="E10" s="25"/>
      <c r="F10" s="25"/>
      <c r="G10" s="25"/>
      <c r="H10" s="25"/>
    </row>
    <row r="11" spans="1:8">
      <c r="A11" s="25"/>
      <c r="B11" s="25"/>
      <c r="C11" s="25"/>
      <c r="D11" s="25"/>
      <c r="E11" s="25"/>
      <c r="F11" s="25"/>
      <c r="G11" s="25"/>
      <c r="H11" s="25"/>
    </row>
    <row r="12" spans="1:8">
      <c r="A12" s="41" t="s">
        <v>940</v>
      </c>
      <c r="B12" s="41"/>
      <c r="C12" s="41"/>
      <c r="D12" s="41"/>
      <c r="E12" s="41"/>
      <c r="F12" s="41"/>
      <c r="G12" s="41"/>
      <c r="H12" s="41"/>
    </row>
    <row r="13" spans="1:8">
      <c r="A13" s="42" t="s">
        <v>941</v>
      </c>
      <c r="B13" s="42"/>
      <c r="C13" s="42"/>
      <c r="D13" s="42"/>
      <c r="E13" s="42"/>
      <c r="F13" s="42"/>
      <c r="G13" s="42"/>
      <c r="H13" s="42"/>
    </row>
    <row r="14" spans="1:8">
      <c r="A14" s="42"/>
      <c r="B14" s="42"/>
      <c r="C14" s="42"/>
      <c r="D14" s="42"/>
      <c r="E14" s="42"/>
      <c r="F14" s="42"/>
      <c r="G14" s="42"/>
      <c r="H14" s="42"/>
    </row>
    <row r="15" spans="1:8">
      <c r="A15" s="42"/>
      <c r="B15" s="42"/>
      <c r="C15" s="42"/>
      <c r="D15" s="42"/>
      <c r="E15" s="42"/>
      <c r="F15" s="42"/>
      <c r="G15" s="42"/>
      <c r="H15" s="42"/>
    </row>
    <row r="16" spans="1:8">
      <c r="A16" s="25"/>
      <c r="B16" s="25"/>
      <c r="C16" s="25"/>
      <c r="D16" s="25"/>
      <c r="E16" s="25"/>
      <c r="F16" s="25"/>
      <c r="G16" s="25"/>
      <c r="H16" s="25"/>
    </row>
    <row r="17" spans="1:8">
      <c r="A17" s="41" t="s">
        <v>942</v>
      </c>
      <c r="B17" s="41"/>
      <c r="C17" s="41"/>
      <c r="D17" s="41"/>
      <c r="E17" s="41"/>
      <c r="F17" s="41"/>
      <c r="G17" s="41"/>
      <c r="H17" s="41"/>
    </row>
    <row r="18" spans="1:8">
      <c r="A18" s="42" t="s">
        <v>943</v>
      </c>
      <c r="B18" s="42"/>
      <c r="C18" s="42"/>
      <c r="D18" s="42"/>
      <c r="E18" s="42"/>
      <c r="F18" s="42"/>
      <c r="G18" s="42"/>
      <c r="H18" s="42"/>
    </row>
    <row r="19" spans="1:8">
      <c r="A19" s="42"/>
      <c r="B19" s="42"/>
      <c r="C19" s="42"/>
      <c r="D19" s="42"/>
      <c r="E19" s="42"/>
      <c r="F19" s="42"/>
      <c r="G19" s="42"/>
      <c r="H19" s="42"/>
    </row>
    <row r="20" spans="1:8">
      <c r="A20" s="42"/>
      <c r="B20" s="42"/>
      <c r="C20" s="42"/>
      <c r="D20" s="42"/>
      <c r="E20" s="42"/>
      <c r="F20" s="42"/>
      <c r="G20" s="42"/>
      <c r="H20" s="42"/>
    </row>
    <row r="21" spans="1:8">
      <c r="A21" s="42"/>
      <c r="B21" s="42"/>
      <c r="C21" s="42"/>
      <c r="D21" s="42"/>
      <c r="E21" s="42"/>
      <c r="F21" s="42"/>
      <c r="G21" s="42"/>
      <c r="H21" s="42"/>
    </row>
    <row r="22" spans="1:8">
      <c r="A22" s="42"/>
      <c r="B22" s="42"/>
      <c r="C22" s="42"/>
      <c r="D22" s="42"/>
      <c r="E22" s="42"/>
      <c r="F22" s="42"/>
      <c r="G22" s="42"/>
      <c r="H22" s="42"/>
    </row>
    <row r="23" spans="1:8">
      <c r="A23" s="25"/>
      <c r="B23" s="25"/>
      <c r="C23" s="25"/>
      <c r="D23" s="25"/>
      <c r="E23" s="25"/>
      <c r="F23" s="25"/>
      <c r="G23" s="25"/>
      <c r="H23" s="25"/>
    </row>
    <row r="24" spans="1:8">
      <c r="A24" s="41" t="s">
        <v>944</v>
      </c>
      <c r="B24" s="41"/>
      <c r="C24" s="41"/>
      <c r="D24" s="41"/>
      <c r="E24" s="41"/>
      <c r="F24" s="41"/>
      <c r="G24" s="41"/>
      <c r="H24" s="41"/>
    </row>
    <row r="25" spans="1:8" ht="16">
      <c r="A25" s="27" t="s">
        <v>848</v>
      </c>
      <c r="B25" s="27" t="s">
        <v>624</v>
      </c>
      <c r="C25" s="27" t="s">
        <v>945</v>
      </c>
      <c r="D25" s="27" t="s">
        <v>946</v>
      </c>
      <c r="E25" s="25"/>
      <c r="F25" s="25"/>
      <c r="G25" s="25"/>
      <c r="H25" s="25"/>
    </row>
    <row r="26" spans="1:8" ht="32">
      <c r="A26" s="4" t="s">
        <v>27</v>
      </c>
      <c r="B26" s="4" t="s">
        <v>947</v>
      </c>
      <c r="C26" s="4" t="s">
        <v>948</v>
      </c>
      <c r="D26" s="4" t="s">
        <v>949</v>
      </c>
      <c r="E26" s="25"/>
      <c r="F26" s="25"/>
      <c r="G26" s="25"/>
      <c r="H26" s="25"/>
    </row>
    <row r="27" spans="1:8" ht="32">
      <c r="A27" s="4" t="s">
        <v>30</v>
      </c>
      <c r="B27" s="4" t="s">
        <v>950</v>
      </c>
      <c r="C27" s="4" t="s">
        <v>951</v>
      </c>
      <c r="D27" s="4" t="s">
        <v>952</v>
      </c>
      <c r="E27" s="25"/>
      <c r="F27" s="25"/>
      <c r="G27" s="25"/>
      <c r="H27" s="25"/>
    </row>
    <row r="28" spans="1:8" ht="32">
      <c r="A28" s="4" t="s">
        <v>55</v>
      </c>
      <c r="B28" s="4" t="s">
        <v>953</v>
      </c>
      <c r="C28" s="4" t="s">
        <v>954</v>
      </c>
      <c r="D28" s="4" t="s">
        <v>955</v>
      </c>
      <c r="E28" s="25"/>
      <c r="F28" s="25"/>
      <c r="G28" s="25"/>
      <c r="H28" s="25"/>
    </row>
    <row r="29" spans="1:8" ht="32">
      <c r="A29" s="4" t="s">
        <v>956</v>
      </c>
      <c r="B29" s="4" t="s">
        <v>957</v>
      </c>
      <c r="C29" s="4" t="s">
        <v>958</v>
      </c>
      <c r="D29" s="4" t="s">
        <v>959</v>
      </c>
      <c r="E29" s="25"/>
      <c r="F29" s="25"/>
      <c r="G29" s="25"/>
      <c r="H29" s="25"/>
    </row>
    <row r="30" spans="1:8">
      <c r="A30" s="25"/>
      <c r="B30" s="25"/>
      <c r="C30" s="25"/>
      <c r="D30" s="25"/>
      <c r="E30" s="25"/>
      <c r="F30" s="25"/>
      <c r="G30" s="25"/>
      <c r="H30" s="25"/>
    </row>
  </sheetData>
  <mergeCells count="6">
    <mergeCell ref="A24:H24"/>
    <mergeCell ref="A1:H1"/>
    <mergeCell ref="A12:H12"/>
    <mergeCell ref="A13:H15"/>
    <mergeCell ref="A17:H17"/>
    <mergeCell ref="A18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Master_Schedule</vt:lpstr>
      <vt:lpstr>Budget_Cost</vt:lpstr>
      <vt:lpstr>Procurement</vt:lpstr>
      <vt:lpstr>RFI_Log</vt:lpstr>
      <vt:lpstr>Submittal_Log</vt:lpstr>
      <vt:lpstr>Change_Log</vt:lpstr>
      <vt:lpstr>Risk_Register</vt:lpstr>
      <vt:lpstr>Issues_Log</vt:lpstr>
      <vt:lpstr>Safety_Log</vt:lpstr>
      <vt:lpstr>Quality_Log</vt:lpstr>
      <vt:lpstr>Stakeholders</vt:lpstr>
      <vt:lpstr>Meeting_Actions</vt:lpstr>
      <vt:lpstr>Closeout</vt:lpstr>
      <vt:lpstr>Categories</vt:lpstr>
      <vt:lpstr>CPM_Gantt</vt:lpstr>
      <vt:lpstr>Earned_Value</vt:lpstr>
      <vt:lpstr>Completed_Forms</vt:lpstr>
      <vt:lpstr>Portfolio_Case_Study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created xsi:type="dcterms:W3CDTF">2026-09-14T02:03:36Z</dcterms:created>
  <dcterms:modified xsi:type="dcterms:W3CDTF">2026-09-14T02:03:36Z</dcterms:modified>
</cp:coreProperties>
</file>